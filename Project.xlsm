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uraj\Desktop\"/>
    </mc:Choice>
  </mc:AlternateContent>
  <xr:revisionPtr revIDLastSave="0" documentId="13_ncr:9_{386E64F3-D3EA-4750-B993-391EBC98CB6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base" sheetId="1" r:id="rId1"/>
    <sheet name="Regression" sheetId="2" r:id="rId2"/>
    <sheet name="Forecasting" sheetId="4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2" i="4"/>
  <c r="Z19" i="1" l="1"/>
  <c r="Z20" i="1"/>
  <c r="Z21" i="1"/>
  <c r="Z22" i="1"/>
  <c r="Z23" i="1"/>
  <c r="Z24" i="1"/>
  <c r="Z18" i="1"/>
</calcChain>
</file>

<file path=xl/sharedStrings.xml><?xml version="1.0" encoding="utf-8"?>
<sst xmlns="http://schemas.openxmlformats.org/spreadsheetml/2006/main" count="132" uniqueCount="48">
  <si>
    <t>Month</t>
  </si>
  <si>
    <t>Burglary</t>
  </si>
  <si>
    <t>Criminal Damage</t>
  </si>
  <si>
    <t>Drugs</t>
  </si>
  <si>
    <t>Other Notifiable Offences</t>
  </si>
  <si>
    <t>Robbery</t>
  </si>
  <si>
    <t>Theft and Handling</t>
  </si>
  <si>
    <t>Violence Against the Person</t>
  </si>
  <si>
    <t>Number of Houses Sold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</si>
  <si>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</si>
  <si>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</si>
  <si>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</si>
  <si>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</si>
  <si>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</si>
  <si>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</si>
  <si>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</si>
  <si>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</si>
  <si>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</si>
  <si>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</si>
  <si>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</si>
  <si>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</si>
  <si>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</si>
  <si>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</si>
  <si>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</si>
  <si>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</si>
  <si>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</si>
  <si>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</si>
  <si>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</si>
  <si>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</si>
  <si>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</si>
  <si>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</si>
  <si>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</si>
  <si>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</si>
  <si>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 squared</t>
  </si>
  <si>
    <t>VIF</t>
  </si>
  <si>
    <t>Date</t>
  </si>
  <si>
    <t>Predicted number of houses sold</t>
  </si>
  <si>
    <t>b0</t>
  </si>
  <si>
    <t>b1</t>
  </si>
  <si>
    <t>b2</t>
  </si>
  <si>
    <t>b3</t>
  </si>
  <si>
    <t>b4</t>
  </si>
  <si>
    <t>b5</t>
  </si>
  <si>
    <t>b6</t>
  </si>
  <si>
    <t>RESIDUAL OUTPUT</t>
  </si>
  <si>
    <t>Observation</t>
  </si>
  <si>
    <t>Predicted Number of Houses Sold</t>
  </si>
  <si>
    <t>Residuals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</si>
</sst>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17" fontId="16" fillId="0" borderId="0" xfId="0" applyNumberFormat="1" applyFont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0" borderId="11" xfId="0" applyBorder="1"/>
    <xf numFmtId="0" fontId="18" fillId="0" borderId="12" xfId="0" applyFont="1" applyBorder="1" applyAlignment="1">
      <alignment horizontal="center"/>
    </xf>
    <xf numFmtId="0" fontId="18" fillId="0" borderId="12" xfId="0" applyFont="1" applyBorder="1" applyAlignment="1">
      <alignment horizontal="centerContinuous"/>
    </xf>
    <xf numFmtId="0" fontId="18" fillId="0" borderId="0" xfId="0" applyFont="1" applyAlignment="1">
      <alignment horizontal="center"/>
    </xf>
    <xf numFmtId="0" fontId="7" fillId="3" borderId="0" xfId="7"/>
    <xf numFmtId="0" fontId="0" fillId="0" borderId="0" xfId="0" applyFill="1" applyBorder="1" applyAlignment="1"/>
    <xf numFmtId="0" fontId="0" fillId="0" borderId="11" xfId="0" applyFill="1" applyBorder="1" applyAlignment="1"/>
    <xf numFmtId="0" fontId="18" fillId="0" borderId="12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Continuous"/>
    </xf>
    <xf numFmtId="0" fontId="8" fillId="4" borderId="10" xfId="8" applyBorder="1" applyAlignment="1">
      <alignment horizontal="center"/>
    </xf>
    <xf numFmtId="0" fontId="6" fillId="2" borderId="10" xfId="6" applyBorder="1" applyAlignment="1"/>
    <xf numFmtId="0" fontId="10" fillId="6" borderId="5" xfId="1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Violence Against the Person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Number of Houses Sold</c:v>
          </c:tx>
          <c:spPr>
            <a:ln w="19050">
              <a:noFill/>
            </a:ln>
          </c:spPr>
          <c:xVal>
            <c:numRef>
              <c:f>Regression!$B$2:$B$109</c:f>
              <c:numCache>
                <c:formatCode>General</c:formatCode>
                <c:ptCount val="108"/>
                <c:pt idx="0">
                  <c:v>12719</c:v>
                </c:pt>
                <c:pt idx="1">
                  <c:v>12123</c:v>
                </c:pt>
                <c:pt idx="2">
                  <c:v>13244</c:v>
                </c:pt>
                <c:pt idx="3">
                  <c:v>12590</c:v>
                </c:pt>
                <c:pt idx="4">
                  <c:v>14577</c:v>
                </c:pt>
                <c:pt idx="5">
                  <c:v>14751</c:v>
                </c:pt>
                <c:pt idx="6">
                  <c:v>15096</c:v>
                </c:pt>
                <c:pt idx="7">
                  <c:v>13394</c:v>
                </c:pt>
                <c:pt idx="8">
                  <c:v>12760</c:v>
                </c:pt>
                <c:pt idx="9">
                  <c:v>13389</c:v>
                </c:pt>
                <c:pt idx="10">
                  <c:v>13069</c:v>
                </c:pt>
                <c:pt idx="11">
                  <c:v>12132</c:v>
                </c:pt>
                <c:pt idx="12">
                  <c:v>12542</c:v>
                </c:pt>
                <c:pt idx="13">
                  <c:v>12055</c:v>
                </c:pt>
                <c:pt idx="14">
                  <c:v>13961</c:v>
                </c:pt>
                <c:pt idx="15">
                  <c:v>13062</c:v>
                </c:pt>
                <c:pt idx="16">
                  <c:v>14591</c:v>
                </c:pt>
                <c:pt idx="17">
                  <c:v>14548</c:v>
                </c:pt>
                <c:pt idx="18">
                  <c:v>14116</c:v>
                </c:pt>
                <c:pt idx="19">
                  <c:v>13791</c:v>
                </c:pt>
                <c:pt idx="20">
                  <c:v>13029</c:v>
                </c:pt>
                <c:pt idx="21">
                  <c:v>13586</c:v>
                </c:pt>
                <c:pt idx="22">
                  <c:v>13177</c:v>
                </c:pt>
                <c:pt idx="23">
                  <c:v>12319</c:v>
                </c:pt>
                <c:pt idx="24">
                  <c:v>12572</c:v>
                </c:pt>
                <c:pt idx="25">
                  <c:v>12147</c:v>
                </c:pt>
                <c:pt idx="26">
                  <c:v>13981</c:v>
                </c:pt>
                <c:pt idx="27">
                  <c:v>13306</c:v>
                </c:pt>
                <c:pt idx="28">
                  <c:v>14442</c:v>
                </c:pt>
                <c:pt idx="29">
                  <c:v>14658</c:v>
                </c:pt>
                <c:pt idx="30">
                  <c:v>14952</c:v>
                </c:pt>
                <c:pt idx="31">
                  <c:v>12951</c:v>
                </c:pt>
                <c:pt idx="32">
                  <c:v>12812</c:v>
                </c:pt>
                <c:pt idx="33">
                  <c:v>12930</c:v>
                </c:pt>
                <c:pt idx="34">
                  <c:v>12052</c:v>
                </c:pt>
                <c:pt idx="35">
                  <c:v>11091</c:v>
                </c:pt>
                <c:pt idx="36">
                  <c:v>11866</c:v>
                </c:pt>
                <c:pt idx="37">
                  <c:v>11150</c:v>
                </c:pt>
                <c:pt idx="38">
                  <c:v>12302</c:v>
                </c:pt>
                <c:pt idx="39">
                  <c:v>12420</c:v>
                </c:pt>
                <c:pt idx="40">
                  <c:v>12289</c:v>
                </c:pt>
                <c:pt idx="41">
                  <c:v>12633</c:v>
                </c:pt>
                <c:pt idx="42">
                  <c:v>12942</c:v>
                </c:pt>
                <c:pt idx="43">
                  <c:v>11884</c:v>
                </c:pt>
                <c:pt idx="44">
                  <c:v>12286</c:v>
                </c:pt>
                <c:pt idx="45">
                  <c:v>13083</c:v>
                </c:pt>
                <c:pt idx="46">
                  <c:v>12454</c:v>
                </c:pt>
                <c:pt idx="47">
                  <c:v>11592</c:v>
                </c:pt>
                <c:pt idx="48">
                  <c:v>11822</c:v>
                </c:pt>
                <c:pt idx="49">
                  <c:v>11058</c:v>
                </c:pt>
                <c:pt idx="50">
                  <c:v>12930</c:v>
                </c:pt>
                <c:pt idx="51">
                  <c:v>11931</c:v>
                </c:pt>
                <c:pt idx="52">
                  <c:v>13638</c:v>
                </c:pt>
                <c:pt idx="53">
                  <c:v>12955</c:v>
                </c:pt>
                <c:pt idx="54">
                  <c:v>13531</c:v>
                </c:pt>
                <c:pt idx="55">
                  <c:v>13483</c:v>
                </c:pt>
                <c:pt idx="56">
                  <c:v>12283</c:v>
                </c:pt>
                <c:pt idx="57">
                  <c:v>12404</c:v>
                </c:pt>
                <c:pt idx="58">
                  <c:v>12012</c:v>
                </c:pt>
                <c:pt idx="59">
                  <c:v>11967</c:v>
                </c:pt>
                <c:pt idx="60">
                  <c:v>11358</c:v>
                </c:pt>
                <c:pt idx="61">
                  <c:v>10316</c:v>
                </c:pt>
                <c:pt idx="62">
                  <c:v>11612</c:v>
                </c:pt>
                <c:pt idx="63">
                  <c:v>11405</c:v>
                </c:pt>
                <c:pt idx="64">
                  <c:v>12290</c:v>
                </c:pt>
                <c:pt idx="65">
                  <c:v>12427</c:v>
                </c:pt>
                <c:pt idx="66">
                  <c:v>13995</c:v>
                </c:pt>
                <c:pt idx="67">
                  <c:v>12505</c:v>
                </c:pt>
                <c:pt idx="68">
                  <c:v>11841</c:v>
                </c:pt>
                <c:pt idx="69">
                  <c:v>12959</c:v>
                </c:pt>
                <c:pt idx="70">
                  <c:v>12804</c:v>
                </c:pt>
                <c:pt idx="71">
                  <c:v>12669</c:v>
                </c:pt>
                <c:pt idx="72">
                  <c:v>12741</c:v>
                </c:pt>
                <c:pt idx="73">
                  <c:v>12057</c:v>
                </c:pt>
                <c:pt idx="74">
                  <c:v>14396</c:v>
                </c:pt>
                <c:pt idx="75">
                  <c:v>13573</c:v>
                </c:pt>
                <c:pt idx="76">
                  <c:v>15346</c:v>
                </c:pt>
                <c:pt idx="77">
                  <c:v>16481</c:v>
                </c:pt>
                <c:pt idx="78">
                  <c:v>17432</c:v>
                </c:pt>
                <c:pt idx="79">
                  <c:v>15803</c:v>
                </c:pt>
                <c:pt idx="80">
                  <c:v>16745</c:v>
                </c:pt>
                <c:pt idx="81">
                  <c:v>17297</c:v>
                </c:pt>
                <c:pt idx="82">
                  <c:v>17093</c:v>
                </c:pt>
                <c:pt idx="83">
                  <c:v>16385</c:v>
                </c:pt>
                <c:pt idx="84">
                  <c:v>16187</c:v>
                </c:pt>
                <c:pt idx="85">
                  <c:v>15458</c:v>
                </c:pt>
                <c:pt idx="86">
                  <c:v>17660</c:v>
                </c:pt>
                <c:pt idx="87">
                  <c:v>16579</c:v>
                </c:pt>
                <c:pt idx="88">
                  <c:v>18982</c:v>
                </c:pt>
                <c:pt idx="89">
                  <c:v>19155</c:v>
                </c:pt>
                <c:pt idx="90">
                  <c:v>19738</c:v>
                </c:pt>
                <c:pt idx="91">
                  <c:v>18478</c:v>
                </c:pt>
                <c:pt idx="92">
                  <c:v>18290</c:v>
                </c:pt>
                <c:pt idx="93">
                  <c:v>19873</c:v>
                </c:pt>
                <c:pt idx="94">
                  <c:v>19259</c:v>
                </c:pt>
                <c:pt idx="95">
                  <c:v>19081</c:v>
                </c:pt>
                <c:pt idx="96">
                  <c:v>18266</c:v>
                </c:pt>
                <c:pt idx="97">
                  <c:v>17642</c:v>
                </c:pt>
                <c:pt idx="98">
                  <c:v>18863</c:v>
                </c:pt>
                <c:pt idx="99">
                  <c:v>18668</c:v>
                </c:pt>
                <c:pt idx="100">
                  <c:v>20639</c:v>
                </c:pt>
                <c:pt idx="101">
                  <c:v>20463</c:v>
                </c:pt>
                <c:pt idx="102">
                  <c:v>21733</c:v>
                </c:pt>
                <c:pt idx="103">
                  <c:v>19762</c:v>
                </c:pt>
                <c:pt idx="104">
                  <c:v>19534</c:v>
                </c:pt>
                <c:pt idx="105">
                  <c:v>19588</c:v>
                </c:pt>
                <c:pt idx="106">
                  <c:v>18441</c:v>
                </c:pt>
                <c:pt idx="107">
                  <c:v>18782</c:v>
                </c:pt>
              </c:numCache>
            </c:numRef>
          </c:xVal>
          <c:yVal>
            <c:numRef>
              <c:f>Regression!$H$2:$H$109</c:f>
              <c:numCache>
                <c:formatCode>General</c:formatCode>
                <c:ptCount val="108"/>
                <c:pt idx="0">
                  <c:v>51461</c:v>
                </c:pt>
                <c:pt idx="1">
                  <c:v>53832</c:v>
                </c:pt>
                <c:pt idx="2">
                  <c:v>50014</c:v>
                </c:pt>
                <c:pt idx="3">
                  <c:v>52480</c:v>
                </c:pt>
                <c:pt idx="4">
                  <c:v>53707</c:v>
                </c:pt>
                <c:pt idx="5">
                  <c:v>48965</c:v>
                </c:pt>
                <c:pt idx="6">
                  <c:v>44580</c:v>
                </c:pt>
                <c:pt idx="7">
                  <c:v>40160</c:v>
                </c:pt>
                <c:pt idx="8">
                  <c:v>34534</c:v>
                </c:pt>
                <c:pt idx="9">
                  <c:v>35822</c:v>
                </c:pt>
                <c:pt idx="10">
                  <c:v>28740</c:v>
                </c:pt>
                <c:pt idx="11">
                  <c:v>31851</c:v>
                </c:pt>
                <c:pt idx="12">
                  <c:v>22242</c:v>
                </c:pt>
                <c:pt idx="13">
                  <c:v>22378</c:v>
                </c:pt>
                <c:pt idx="14">
                  <c:v>28958</c:v>
                </c:pt>
                <c:pt idx="15">
                  <c:v>31111</c:v>
                </c:pt>
                <c:pt idx="16">
                  <c:v>36274</c:v>
                </c:pt>
                <c:pt idx="17">
                  <c:v>42760</c:v>
                </c:pt>
                <c:pt idx="18">
                  <c:v>52545</c:v>
                </c:pt>
                <c:pt idx="19">
                  <c:v>49219</c:v>
                </c:pt>
                <c:pt idx="20">
                  <c:v>50318</c:v>
                </c:pt>
                <c:pt idx="21">
                  <c:v>54953</c:v>
                </c:pt>
                <c:pt idx="22">
                  <c:v>51675</c:v>
                </c:pt>
                <c:pt idx="23">
                  <c:v>64459</c:v>
                </c:pt>
                <c:pt idx="24">
                  <c:v>34067</c:v>
                </c:pt>
                <c:pt idx="25">
                  <c:v>38023</c:v>
                </c:pt>
                <c:pt idx="26">
                  <c:v>44487</c:v>
                </c:pt>
                <c:pt idx="27">
                  <c:v>44434</c:v>
                </c:pt>
                <c:pt idx="28">
                  <c:v>44515</c:v>
                </c:pt>
                <c:pt idx="29">
                  <c:v>54289</c:v>
                </c:pt>
                <c:pt idx="30">
                  <c:v>58555</c:v>
                </c:pt>
                <c:pt idx="31">
                  <c:v>53477</c:v>
                </c:pt>
                <c:pt idx="32">
                  <c:v>50395</c:v>
                </c:pt>
                <c:pt idx="33">
                  <c:v>49662</c:v>
                </c:pt>
                <c:pt idx="34">
                  <c:v>47959</c:v>
                </c:pt>
                <c:pt idx="35">
                  <c:v>47823</c:v>
                </c:pt>
                <c:pt idx="36">
                  <c:v>34048</c:v>
                </c:pt>
                <c:pt idx="37">
                  <c:v>34838</c:v>
                </c:pt>
                <c:pt idx="38">
                  <c:v>40719</c:v>
                </c:pt>
                <c:pt idx="39">
                  <c:v>43431</c:v>
                </c:pt>
                <c:pt idx="40">
                  <c:v>41353</c:v>
                </c:pt>
                <c:pt idx="41">
                  <c:v>48971</c:v>
                </c:pt>
                <c:pt idx="42">
                  <c:v>54040</c:v>
                </c:pt>
                <c:pt idx="43">
                  <c:v>55412</c:v>
                </c:pt>
                <c:pt idx="44">
                  <c:v>54726</c:v>
                </c:pt>
                <c:pt idx="45">
                  <c:v>49349</c:v>
                </c:pt>
                <c:pt idx="46">
                  <c:v>50738</c:v>
                </c:pt>
                <c:pt idx="47">
                  <c:v>53378</c:v>
                </c:pt>
                <c:pt idx="48">
                  <c:v>38991</c:v>
                </c:pt>
                <c:pt idx="49">
                  <c:v>39820</c:v>
                </c:pt>
                <c:pt idx="50">
                  <c:v>54431</c:v>
                </c:pt>
                <c:pt idx="51">
                  <c:v>36927</c:v>
                </c:pt>
                <c:pt idx="52">
                  <c:v>45371</c:v>
                </c:pt>
                <c:pt idx="53">
                  <c:v>50541</c:v>
                </c:pt>
                <c:pt idx="54">
                  <c:v>52615</c:v>
                </c:pt>
                <c:pt idx="55">
                  <c:v>56536</c:v>
                </c:pt>
                <c:pt idx="56">
                  <c:v>47313</c:v>
                </c:pt>
                <c:pt idx="57">
                  <c:v>50666</c:v>
                </c:pt>
                <c:pt idx="58">
                  <c:v>53929</c:v>
                </c:pt>
                <c:pt idx="59">
                  <c:v>47945</c:v>
                </c:pt>
                <c:pt idx="60">
                  <c:v>39477</c:v>
                </c:pt>
                <c:pt idx="61">
                  <c:v>39848</c:v>
                </c:pt>
                <c:pt idx="62">
                  <c:v>46678</c:v>
                </c:pt>
                <c:pt idx="63">
                  <c:v>44490</c:v>
                </c:pt>
                <c:pt idx="64">
                  <c:v>56133</c:v>
                </c:pt>
                <c:pt idx="65">
                  <c:v>56138</c:v>
                </c:pt>
                <c:pt idx="66">
                  <c:v>65271</c:v>
                </c:pt>
                <c:pt idx="67">
                  <c:v>68990</c:v>
                </c:pt>
                <c:pt idx="68">
                  <c:v>62128</c:v>
                </c:pt>
                <c:pt idx="69">
                  <c:v>67650</c:v>
                </c:pt>
                <c:pt idx="70">
                  <c:v>71884</c:v>
                </c:pt>
                <c:pt idx="71">
                  <c:v>68696</c:v>
                </c:pt>
                <c:pt idx="72">
                  <c:v>59568</c:v>
                </c:pt>
                <c:pt idx="73">
                  <c:v>57645</c:v>
                </c:pt>
                <c:pt idx="74">
                  <c:v>59558</c:v>
                </c:pt>
                <c:pt idx="75">
                  <c:v>61570</c:v>
                </c:pt>
                <c:pt idx="76">
                  <c:v>65719</c:v>
                </c:pt>
                <c:pt idx="77">
                  <c:v>68633</c:v>
                </c:pt>
                <c:pt idx="78">
                  <c:v>72812</c:v>
                </c:pt>
                <c:pt idx="79">
                  <c:v>73870</c:v>
                </c:pt>
                <c:pt idx="80">
                  <c:v>67642</c:v>
                </c:pt>
                <c:pt idx="81">
                  <c:v>72234</c:v>
                </c:pt>
                <c:pt idx="82">
                  <c:v>61284</c:v>
                </c:pt>
                <c:pt idx="83">
                  <c:v>65590</c:v>
                </c:pt>
                <c:pt idx="84">
                  <c:v>50914</c:v>
                </c:pt>
                <c:pt idx="85">
                  <c:v>50616</c:v>
                </c:pt>
                <c:pt idx="86">
                  <c:v>57058</c:v>
                </c:pt>
                <c:pt idx="87">
                  <c:v>54602</c:v>
                </c:pt>
                <c:pt idx="88">
                  <c:v>61003</c:v>
                </c:pt>
                <c:pt idx="89">
                  <c:v>71022</c:v>
                </c:pt>
                <c:pt idx="90">
                  <c:v>77860</c:v>
                </c:pt>
                <c:pt idx="91">
                  <c:v>70037</c:v>
                </c:pt>
                <c:pt idx="92">
                  <c:v>70028</c:v>
                </c:pt>
                <c:pt idx="93">
                  <c:v>74213</c:v>
                </c:pt>
                <c:pt idx="94">
                  <c:v>66359</c:v>
                </c:pt>
                <c:pt idx="95">
                  <c:v>66746</c:v>
                </c:pt>
                <c:pt idx="96">
                  <c:v>51950</c:v>
                </c:pt>
                <c:pt idx="97">
                  <c:v>55385</c:v>
                </c:pt>
                <c:pt idx="98">
                  <c:v>107610</c:v>
                </c:pt>
                <c:pt idx="99">
                  <c:v>41972</c:v>
                </c:pt>
                <c:pt idx="100">
                  <c:v>48164</c:v>
                </c:pt>
                <c:pt idx="101">
                  <c:v>60519</c:v>
                </c:pt>
                <c:pt idx="102">
                  <c:v>63760</c:v>
                </c:pt>
                <c:pt idx="103">
                  <c:v>63514</c:v>
                </c:pt>
                <c:pt idx="104">
                  <c:v>60962</c:v>
                </c:pt>
                <c:pt idx="105">
                  <c:v>58015</c:v>
                </c:pt>
                <c:pt idx="106">
                  <c:v>59633</c:v>
                </c:pt>
                <c:pt idx="107">
                  <c:v>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3C-4C81-A43F-957A1DB5D21F}"/>
            </c:ext>
          </c:extLst>
        </c:ser>
        <c:ser>
          <c:idx val="1"/>
          <c:order val="1"/>
          <c:tx>
            <c:v>Predicted Number of Houses Sold</c:v>
          </c:tx>
          <c:spPr>
            <a:ln w="19050">
              <a:noFill/>
            </a:ln>
          </c:spPr>
          <c:xVal>
            <c:numRef>
              <c:f>Regression!$B$2:$B$109</c:f>
              <c:numCache>
                <c:formatCode>General</c:formatCode>
                <c:ptCount val="108"/>
                <c:pt idx="0">
                  <c:v>12719</c:v>
                </c:pt>
                <c:pt idx="1">
                  <c:v>12123</c:v>
                </c:pt>
                <c:pt idx="2">
                  <c:v>13244</c:v>
                </c:pt>
                <c:pt idx="3">
                  <c:v>12590</c:v>
                </c:pt>
                <c:pt idx="4">
                  <c:v>14577</c:v>
                </c:pt>
                <c:pt idx="5">
                  <c:v>14751</c:v>
                </c:pt>
                <c:pt idx="6">
                  <c:v>15096</c:v>
                </c:pt>
                <c:pt idx="7">
                  <c:v>13394</c:v>
                </c:pt>
                <c:pt idx="8">
                  <c:v>12760</c:v>
                </c:pt>
                <c:pt idx="9">
                  <c:v>13389</c:v>
                </c:pt>
                <c:pt idx="10">
                  <c:v>13069</c:v>
                </c:pt>
                <c:pt idx="11">
                  <c:v>12132</c:v>
                </c:pt>
                <c:pt idx="12">
                  <c:v>12542</c:v>
                </c:pt>
                <c:pt idx="13">
                  <c:v>12055</c:v>
                </c:pt>
                <c:pt idx="14">
                  <c:v>13961</c:v>
                </c:pt>
                <c:pt idx="15">
                  <c:v>13062</c:v>
                </c:pt>
                <c:pt idx="16">
                  <c:v>14591</c:v>
                </c:pt>
                <c:pt idx="17">
                  <c:v>14548</c:v>
                </c:pt>
                <c:pt idx="18">
                  <c:v>14116</c:v>
                </c:pt>
                <c:pt idx="19">
                  <c:v>13791</c:v>
                </c:pt>
                <c:pt idx="20">
                  <c:v>13029</c:v>
                </c:pt>
                <c:pt idx="21">
                  <c:v>13586</c:v>
                </c:pt>
                <c:pt idx="22">
                  <c:v>13177</c:v>
                </c:pt>
                <c:pt idx="23">
                  <c:v>12319</c:v>
                </c:pt>
                <c:pt idx="24">
                  <c:v>12572</c:v>
                </c:pt>
                <c:pt idx="25">
                  <c:v>12147</c:v>
                </c:pt>
                <c:pt idx="26">
                  <c:v>13981</c:v>
                </c:pt>
                <c:pt idx="27">
                  <c:v>13306</c:v>
                </c:pt>
                <c:pt idx="28">
                  <c:v>14442</c:v>
                </c:pt>
                <c:pt idx="29">
                  <c:v>14658</c:v>
                </c:pt>
                <c:pt idx="30">
                  <c:v>14952</c:v>
                </c:pt>
                <c:pt idx="31">
                  <c:v>12951</c:v>
                </c:pt>
                <c:pt idx="32">
                  <c:v>12812</c:v>
                </c:pt>
                <c:pt idx="33">
                  <c:v>12930</c:v>
                </c:pt>
                <c:pt idx="34">
                  <c:v>12052</c:v>
                </c:pt>
                <c:pt idx="35">
                  <c:v>11091</c:v>
                </c:pt>
                <c:pt idx="36">
                  <c:v>11866</c:v>
                </c:pt>
                <c:pt idx="37">
                  <c:v>11150</c:v>
                </c:pt>
                <c:pt idx="38">
                  <c:v>12302</c:v>
                </c:pt>
                <c:pt idx="39">
                  <c:v>12420</c:v>
                </c:pt>
                <c:pt idx="40">
                  <c:v>12289</c:v>
                </c:pt>
                <c:pt idx="41">
                  <c:v>12633</c:v>
                </c:pt>
                <c:pt idx="42">
                  <c:v>12942</c:v>
                </c:pt>
                <c:pt idx="43">
                  <c:v>11884</c:v>
                </c:pt>
                <c:pt idx="44">
                  <c:v>12286</c:v>
                </c:pt>
                <c:pt idx="45">
                  <c:v>13083</c:v>
                </c:pt>
                <c:pt idx="46">
                  <c:v>12454</c:v>
                </c:pt>
                <c:pt idx="47">
                  <c:v>11592</c:v>
                </c:pt>
                <c:pt idx="48">
                  <c:v>11822</c:v>
                </c:pt>
                <c:pt idx="49">
                  <c:v>11058</c:v>
                </c:pt>
                <c:pt idx="50">
                  <c:v>12930</c:v>
                </c:pt>
                <c:pt idx="51">
                  <c:v>11931</c:v>
                </c:pt>
                <c:pt idx="52">
                  <c:v>13638</c:v>
                </c:pt>
                <c:pt idx="53">
                  <c:v>12955</c:v>
                </c:pt>
                <c:pt idx="54">
                  <c:v>13531</c:v>
                </c:pt>
                <c:pt idx="55">
                  <c:v>13483</c:v>
                </c:pt>
                <c:pt idx="56">
                  <c:v>12283</c:v>
                </c:pt>
                <c:pt idx="57">
                  <c:v>12404</c:v>
                </c:pt>
                <c:pt idx="58">
                  <c:v>12012</c:v>
                </c:pt>
                <c:pt idx="59">
                  <c:v>11967</c:v>
                </c:pt>
                <c:pt idx="60">
                  <c:v>11358</c:v>
                </c:pt>
                <c:pt idx="61">
                  <c:v>10316</c:v>
                </c:pt>
                <c:pt idx="62">
                  <c:v>11612</c:v>
                </c:pt>
                <c:pt idx="63">
                  <c:v>11405</c:v>
                </c:pt>
                <c:pt idx="64">
                  <c:v>12290</c:v>
                </c:pt>
                <c:pt idx="65">
                  <c:v>12427</c:v>
                </c:pt>
                <c:pt idx="66">
                  <c:v>13995</c:v>
                </c:pt>
                <c:pt idx="67">
                  <c:v>12505</c:v>
                </c:pt>
                <c:pt idx="68">
                  <c:v>11841</c:v>
                </c:pt>
                <c:pt idx="69">
                  <c:v>12959</c:v>
                </c:pt>
                <c:pt idx="70">
                  <c:v>12804</c:v>
                </c:pt>
                <c:pt idx="71">
                  <c:v>12669</c:v>
                </c:pt>
                <c:pt idx="72">
                  <c:v>12741</c:v>
                </c:pt>
                <c:pt idx="73">
                  <c:v>12057</c:v>
                </c:pt>
                <c:pt idx="74">
                  <c:v>14396</c:v>
                </c:pt>
                <c:pt idx="75">
                  <c:v>13573</c:v>
                </c:pt>
                <c:pt idx="76">
                  <c:v>15346</c:v>
                </c:pt>
                <c:pt idx="77">
                  <c:v>16481</c:v>
                </c:pt>
                <c:pt idx="78">
                  <c:v>17432</c:v>
                </c:pt>
                <c:pt idx="79">
                  <c:v>15803</c:v>
                </c:pt>
                <c:pt idx="80">
                  <c:v>16745</c:v>
                </c:pt>
                <c:pt idx="81">
                  <c:v>17297</c:v>
                </c:pt>
                <c:pt idx="82">
                  <c:v>17093</c:v>
                </c:pt>
                <c:pt idx="83">
                  <c:v>16385</c:v>
                </c:pt>
                <c:pt idx="84">
                  <c:v>16187</c:v>
                </c:pt>
                <c:pt idx="85">
                  <c:v>15458</c:v>
                </c:pt>
                <c:pt idx="86">
                  <c:v>17660</c:v>
                </c:pt>
                <c:pt idx="87">
                  <c:v>16579</c:v>
                </c:pt>
                <c:pt idx="88">
                  <c:v>18982</c:v>
                </c:pt>
                <c:pt idx="89">
                  <c:v>19155</c:v>
                </c:pt>
                <c:pt idx="90">
                  <c:v>19738</c:v>
                </c:pt>
                <c:pt idx="91">
                  <c:v>18478</c:v>
                </c:pt>
                <c:pt idx="92">
                  <c:v>18290</c:v>
                </c:pt>
                <c:pt idx="93">
                  <c:v>19873</c:v>
                </c:pt>
                <c:pt idx="94">
                  <c:v>19259</c:v>
                </c:pt>
                <c:pt idx="95">
                  <c:v>19081</c:v>
                </c:pt>
                <c:pt idx="96">
                  <c:v>18266</c:v>
                </c:pt>
                <c:pt idx="97">
                  <c:v>17642</c:v>
                </c:pt>
                <c:pt idx="98">
                  <c:v>18863</c:v>
                </c:pt>
                <c:pt idx="99">
                  <c:v>18668</c:v>
                </c:pt>
                <c:pt idx="100">
                  <c:v>20639</c:v>
                </c:pt>
                <c:pt idx="101">
                  <c:v>20463</c:v>
                </c:pt>
                <c:pt idx="102">
                  <c:v>21733</c:v>
                </c:pt>
                <c:pt idx="103">
                  <c:v>19762</c:v>
                </c:pt>
                <c:pt idx="104">
                  <c:v>19534</c:v>
                </c:pt>
                <c:pt idx="105">
                  <c:v>19588</c:v>
                </c:pt>
                <c:pt idx="106">
                  <c:v>18441</c:v>
                </c:pt>
                <c:pt idx="107">
                  <c:v>18782</c:v>
                </c:pt>
              </c:numCache>
            </c:numRef>
          </c:xVal>
          <c:yVal>
            <c:numRef>
              <c:f>Regression!$K$32:$K$139</c:f>
              <c:numCache>
                <c:formatCode>General</c:formatCode>
                <c:ptCount val="108"/>
                <c:pt idx="0">
                  <c:v>35477.16001282035</c:v>
                </c:pt>
                <c:pt idx="1">
                  <c:v>42116.911596510123</c:v>
                </c:pt>
                <c:pt idx="2">
                  <c:v>41812.423084276772</c:v>
                </c:pt>
                <c:pt idx="3">
                  <c:v>41605.272174591126</c:v>
                </c:pt>
                <c:pt idx="4">
                  <c:v>43994.775214472647</c:v>
                </c:pt>
                <c:pt idx="5">
                  <c:v>44914.746079599689</c:v>
                </c:pt>
                <c:pt idx="6">
                  <c:v>48694.356752035077</c:v>
                </c:pt>
                <c:pt idx="7">
                  <c:v>45694.857169238981</c:v>
                </c:pt>
                <c:pt idx="8">
                  <c:v>47040.123737578324</c:v>
                </c:pt>
                <c:pt idx="9">
                  <c:v>47846.670118440357</c:v>
                </c:pt>
                <c:pt idx="10">
                  <c:v>44715.583074626004</c:v>
                </c:pt>
                <c:pt idx="11">
                  <c:v>42070.291159727094</c:v>
                </c:pt>
                <c:pt idx="12">
                  <c:v>39153.457571887026</c:v>
                </c:pt>
                <c:pt idx="13">
                  <c:v>42703.590184658882</c:v>
                </c:pt>
                <c:pt idx="14">
                  <c:v>41494.308848636472</c:v>
                </c:pt>
                <c:pt idx="15">
                  <c:v>39226.195178386195</c:v>
                </c:pt>
                <c:pt idx="16">
                  <c:v>40005.383374220699</c:v>
                </c:pt>
                <c:pt idx="17">
                  <c:v>45239.384917020841</c:v>
                </c:pt>
                <c:pt idx="18">
                  <c:v>47287.112068702278</c:v>
                </c:pt>
                <c:pt idx="19">
                  <c:v>46540.004576840074</c:v>
                </c:pt>
                <c:pt idx="20">
                  <c:v>45509.432257316032</c:v>
                </c:pt>
                <c:pt idx="21">
                  <c:v>46882.747618418674</c:v>
                </c:pt>
                <c:pt idx="22">
                  <c:v>47174.621347339955</c:v>
                </c:pt>
                <c:pt idx="23">
                  <c:v>46516.735850481469</c:v>
                </c:pt>
                <c:pt idx="24">
                  <c:v>44421.536054351476</c:v>
                </c:pt>
                <c:pt idx="25">
                  <c:v>44421.674514053753</c:v>
                </c:pt>
                <c:pt idx="26">
                  <c:v>41635.427266648025</c:v>
                </c:pt>
                <c:pt idx="27">
                  <c:v>44577.390939029356</c:v>
                </c:pt>
                <c:pt idx="28">
                  <c:v>44548.176261002074</c:v>
                </c:pt>
                <c:pt idx="29">
                  <c:v>47763.158328273836</c:v>
                </c:pt>
                <c:pt idx="30">
                  <c:v>51269.851561836083</c:v>
                </c:pt>
                <c:pt idx="31">
                  <c:v>50508.698983940762</c:v>
                </c:pt>
                <c:pt idx="32">
                  <c:v>49928.694634559943</c:v>
                </c:pt>
                <c:pt idx="33">
                  <c:v>48760.763721542564</c:v>
                </c:pt>
                <c:pt idx="34">
                  <c:v>43204.141936078115</c:v>
                </c:pt>
                <c:pt idx="35">
                  <c:v>40858.622942943679</c:v>
                </c:pt>
                <c:pt idx="36">
                  <c:v>39294.447605055117</c:v>
                </c:pt>
                <c:pt idx="37">
                  <c:v>42792.061758825977</c:v>
                </c:pt>
                <c:pt idx="38">
                  <c:v>43961.065412561671</c:v>
                </c:pt>
                <c:pt idx="39">
                  <c:v>42538.885857776011</c:v>
                </c:pt>
                <c:pt idx="40">
                  <c:v>43139.289385410601</c:v>
                </c:pt>
                <c:pt idx="41">
                  <c:v>48170.332397597114</c:v>
                </c:pt>
                <c:pt idx="42">
                  <c:v>46678.401899032593</c:v>
                </c:pt>
                <c:pt idx="43">
                  <c:v>40267.960218861845</c:v>
                </c:pt>
                <c:pt idx="44">
                  <c:v>50054.646194956687</c:v>
                </c:pt>
                <c:pt idx="45">
                  <c:v>49203.587317047059</c:v>
                </c:pt>
                <c:pt idx="46">
                  <c:v>47024.257184190974</c:v>
                </c:pt>
                <c:pt idx="47">
                  <c:v>46091.41064931525</c:v>
                </c:pt>
                <c:pt idx="48">
                  <c:v>47498.047194478742</c:v>
                </c:pt>
                <c:pt idx="49">
                  <c:v>47623.587878839418</c:v>
                </c:pt>
                <c:pt idx="50">
                  <c:v>49857.71059202707</c:v>
                </c:pt>
                <c:pt idx="51">
                  <c:v>48523.502340569001</c:v>
                </c:pt>
                <c:pt idx="52">
                  <c:v>53886.059889583114</c:v>
                </c:pt>
                <c:pt idx="53">
                  <c:v>51731.903041398706</c:v>
                </c:pt>
                <c:pt idx="54">
                  <c:v>55308.94741591093</c:v>
                </c:pt>
                <c:pt idx="55">
                  <c:v>55588.608783906988</c:v>
                </c:pt>
                <c:pt idx="56">
                  <c:v>53561.131633659272</c:v>
                </c:pt>
                <c:pt idx="57">
                  <c:v>54647.082634772218</c:v>
                </c:pt>
                <c:pt idx="58">
                  <c:v>49664.335697537201</c:v>
                </c:pt>
                <c:pt idx="59">
                  <c:v>50733.843925408713</c:v>
                </c:pt>
                <c:pt idx="60">
                  <c:v>51281.504112029113</c:v>
                </c:pt>
                <c:pt idx="61">
                  <c:v>52952.023297101143</c:v>
                </c:pt>
                <c:pt idx="62">
                  <c:v>53902.336013295651</c:v>
                </c:pt>
                <c:pt idx="63">
                  <c:v>54795.063407963353</c:v>
                </c:pt>
                <c:pt idx="64">
                  <c:v>54889.150247862315</c:v>
                </c:pt>
                <c:pt idx="65">
                  <c:v>56267.288463396202</c:v>
                </c:pt>
                <c:pt idx="66">
                  <c:v>57153.706153777253</c:v>
                </c:pt>
                <c:pt idx="67">
                  <c:v>55428.594253818352</c:v>
                </c:pt>
                <c:pt idx="68">
                  <c:v>55279.840729203577</c:v>
                </c:pt>
                <c:pt idx="69">
                  <c:v>58321.997954035221</c:v>
                </c:pt>
                <c:pt idx="70">
                  <c:v>54117.705032935002</c:v>
                </c:pt>
                <c:pt idx="71">
                  <c:v>54292.638336532182</c:v>
                </c:pt>
                <c:pt idx="72">
                  <c:v>53607.557807917736</c:v>
                </c:pt>
                <c:pt idx="73">
                  <c:v>55990.056128404249</c:v>
                </c:pt>
                <c:pt idx="74">
                  <c:v>61428.688974689016</c:v>
                </c:pt>
                <c:pt idx="75">
                  <c:v>61009.350337959288</c:v>
                </c:pt>
                <c:pt idx="76">
                  <c:v>62503.709798071592</c:v>
                </c:pt>
                <c:pt idx="77">
                  <c:v>63771.146733431902</c:v>
                </c:pt>
                <c:pt idx="78">
                  <c:v>65481.27786608148</c:v>
                </c:pt>
                <c:pt idx="79">
                  <c:v>61969.820439055336</c:v>
                </c:pt>
                <c:pt idx="80">
                  <c:v>62956.530522841182</c:v>
                </c:pt>
                <c:pt idx="81">
                  <c:v>61399.496585819739</c:v>
                </c:pt>
                <c:pt idx="82">
                  <c:v>60324.821963278897</c:v>
                </c:pt>
                <c:pt idx="83">
                  <c:v>59703.349108706621</c:v>
                </c:pt>
                <c:pt idx="84">
                  <c:v>61545.9656967068</c:v>
                </c:pt>
                <c:pt idx="85">
                  <c:v>60885.081975868772</c:v>
                </c:pt>
                <c:pt idx="86">
                  <c:v>62718.090664384334</c:v>
                </c:pt>
                <c:pt idx="87">
                  <c:v>62356.531475584037</c:v>
                </c:pt>
                <c:pt idx="88">
                  <c:v>65317.613379103306</c:v>
                </c:pt>
                <c:pt idx="89">
                  <c:v>67922.313067655923</c:v>
                </c:pt>
                <c:pt idx="90">
                  <c:v>66881.035763897613</c:v>
                </c:pt>
                <c:pt idx="91">
                  <c:v>64782.719909563639</c:v>
                </c:pt>
                <c:pt idx="92">
                  <c:v>65636.795977933871</c:v>
                </c:pt>
                <c:pt idx="93">
                  <c:v>66789.153245711481</c:v>
                </c:pt>
                <c:pt idx="94">
                  <c:v>63450.938535241694</c:v>
                </c:pt>
                <c:pt idx="95">
                  <c:v>63685.701699664656</c:v>
                </c:pt>
                <c:pt idx="96">
                  <c:v>62397.009321874866</c:v>
                </c:pt>
                <c:pt idx="97">
                  <c:v>63420.850171684113</c:v>
                </c:pt>
                <c:pt idx="98">
                  <c:v>65516.008069766285</c:v>
                </c:pt>
                <c:pt idx="99">
                  <c:v>67306.49383915207</c:v>
                </c:pt>
                <c:pt idx="100">
                  <c:v>67887.495910557394</c:v>
                </c:pt>
                <c:pt idx="101">
                  <c:v>67850.043150706479</c:v>
                </c:pt>
                <c:pt idx="102">
                  <c:v>69070.422520674547</c:v>
                </c:pt>
                <c:pt idx="103">
                  <c:v>67150.550612981373</c:v>
                </c:pt>
                <c:pt idx="104">
                  <c:v>67211.651351849432</c:v>
                </c:pt>
                <c:pt idx="105">
                  <c:v>67495.686828975216</c:v>
                </c:pt>
                <c:pt idx="106">
                  <c:v>65023.873212856488</c:v>
                </c:pt>
                <c:pt idx="107">
                  <c:v>61413.931328591527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3C-4C81-A43F-957A1DB5D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9755280"/>
        <c:axId val="869758608"/>
      </c:scatterChart>
      <c:valAx>
        <c:axId val="869755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Violence Against the Person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9758608"/>
        <c:crosses val="autoZero"/>
        <c:crossBetween val="midCat"/>
      </c:valAx>
      <c:valAx>
        <c:axId val="8697586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Number of Houses Sold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97552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Theft and Handling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Number of Houses Sold</c:v>
          </c:tx>
          <c:spPr>
            <a:ln w="19050">
              <a:noFill/>
            </a:ln>
          </c:spPr>
          <c:xVal>
            <c:numRef>
              <c:f>Regression!$C$2:$C$109</c:f>
              <c:numCache>
                <c:formatCode>General</c:formatCode>
                <c:ptCount val="108"/>
                <c:pt idx="0">
                  <c:v>24014</c:v>
                </c:pt>
                <c:pt idx="1">
                  <c:v>22980</c:v>
                </c:pt>
                <c:pt idx="2">
                  <c:v>23632</c:v>
                </c:pt>
                <c:pt idx="3">
                  <c:v>23660</c:v>
                </c:pt>
                <c:pt idx="4">
                  <c:v>23695</c:v>
                </c:pt>
                <c:pt idx="5">
                  <c:v>23794</c:v>
                </c:pt>
                <c:pt idx="6">
                  <c:v>24814</c:v>
                </c:pt>
                <c:pt idx="7">
                  <c:v>22791</c:v>
                </c:pt>
                <c:pt idx="8">
                  <c:v>22738</c:v>
                </c:pt>
                <c:pt idx="9">
                  <c:v>25478</c:v>
                </c:pt>
                <c:pt idx="10">
                  <c:v>24008</c:v>
                </c:pt>
                <c:pt idx="11">
                  <c:v>22088</c:v>
                </c:pt>
                <c:pt idx="12">
                  <c:v>22332</c:v>
                </c:pt>
                <c:pt idx="13">
                  <c:v>20819</c:v>
                </c:pt>
                <c:pt idx="14">
                  <c:v>24219</c:v>
                </c:pt>
                <c:pt idx="15">
                  <c:v>23403</c:v>
                </c:pt>
                <c:pt idx="16">
                  <c:v>24439</c:v>
                </c:pt>
                <c:pt idx="17">
                  <c:v>24638</c:v>
                </c:pt>
                <c:pt idx="18">
                  <c:v>24955</c:v>
                </c:pt>
                <c:pt idx="19">
                  <c:v>22595</c:v>
                </c:pt>
                <c:pt idx="20">
                  <c:v>22728</c:v>
                </c:pt>
                <c:pt idx="21">
                  <c:v>24253</c:v>
                </c:pt>
                <c:pt idx="22">
                  <c:v>23415</c:v>
                </c:pt>
                <c:pt idx="23">
                  <c:v>21696</c:v>
                </c:pt>
                <c:pt idx="24">
                  <c:v>21022</c:v>
                </c:pt>
                <c:pt idx="25">
                  <c:v>21523</c:v>
                </c:pt>
                <c:pt idx="26">
                  <c:v>25578</c:v>
                </c:pt>
                <c:pt idx="27">
                  <c:v>24534</c:v>
                </c:pt>
                <c:pt idx="28">
                  <c:v>25045</c:v>
                </c:pt>
                <c:pt idx="29">
                  <c:v>25637</c:v>
                </c:pt>
                <c:pt idx="30">
                  <c:v>25928</c:v>
                </c:pt>
                <c:pt idx="31">
                  <c:v>23763</c:v>
                </c:pt>
                <c:pt idx="32">
                  <c:v>25215</c:v>
                </c:pt>
                <c:pt idx="33">
                  <c:v>26293</c:v>
                </c:pt>
                <c:pt idx="34">
                  <c:v>25417</c:v>
                </c:pt>
                <c:pt idx="35">
                  <c:v>20969</c:v>
                </c:pt>
                <c:pt idx="36">
                  <c:v>23277</c:v>
                </c:pt>
                <c:pt idx="37">
                  <c:v>22743</c:v>
                </c:pt>
                <c:pt idx="38">
                  <c:v>25900</c:v>
                </c:pt>
                <c:pt idx="39">
                  <c:v>24810</c:v>
                </c:pt>
                <c:pt idx="40">
                  <c:v>27359</c:v>
                </c:pt>
                <c:pt idx="41">
                  <c:v>27029</c:v>
                </c:pt>
                <c:pt idx="42">
                  <c:v>26332</c:v>
                </c:pt>
                <c:pt idx="43">
                  <c:v>23926</c:v>
                </c:pt>
                <c:pt idx="44">
                  <c:v>25300</c:v>
                </c:pt>
                <c:pt idx="45">
                  <c:v>27928</c:v>
                </c:pt>
                <c:pt idx="46">
                  <c:v>28490</c:v>
                </c:pt>
                <c:pt idx="47">
                  <c:v>26198</c:v>
                </c:pt>
                <c:pt idx="48">
                  <c:v>27445</c:v>
                </c:pt>
                <c:pt idx="49">
                  <c:v>25001</c:v>
                </c:pt>
                <c:pt idx="50">
                  <c:v>31076</c:v>
                </c:pt>
                <c:pt idx="51">
                  <c:v>26646</c:v>
                </c:pt>
                <c:pt idx="52">
                  <c:v>29823</c:v>
                </c:pt>
                <c:pt idx="53">
                  <c:v>28152</c:v>
                </c:pt>
                <c:pt idx="54">
                  <c:v>28878</c:v>
                </c:pt>
                <c:pt idx="55">
                  <c:v>27442</c:v>
                </c:pt>
                <c:pt idx="56">
                  <c:v>25361</c:v>
                </c:pt>
                <c:pt idx="57">
                  <c:v>28871</c:v>
                </c:pt>
                <c:pt idx="58">
                  <c:v>28705</c:v>
                </c:pt>
                <c:pt idx="59">
                  <c:v>26654</c:v>
                </c:pt>
                <c:pt idx="60">
                  <c:v>26626</c:v>
                </c:pt>
                <c:pt idx="61">
                  <c:v>25410</c:v>
                </c:pt>
                <c:pt idx="62">
                  <c:v>25969</c:v>
                </c:pt>
                <c:pt idx="63">
                  <c:v>25219</c:v>
                </c:pt>
                <c:pt idx="64">
                  <c:v>25126</c:v>
                </c:pt>
                <c:pt idx="65">
                  <c:v>25686</c:v>
                </c:pt>
                <c:pt idx="66">
                  <c:v>26852</c:v>
                </c:pt>
                <c:pt idx="67">
                  <c:v>25714</c:v>
                </c:pt>
                <c:pt idx="68">
                  <c:v>24870</c:v>
                </c:pt>
                <c:pt idx="69">
                  <c:v>26978</c:v>
                </c:pt>
                <c:pt idx="70">
                  <c:v>24961</c:v>
                </c:pt>
                <c:pt idx="71">
                  <c:v>22961</c:v>
                </c:pt>
                <c:pt idx="72">
                  <c:v>23285</c:v>
                </c:pt>
                <c:pt idx="73">
                  <c:v>21715</c:v>
                </c:pt>
                <c:pt idx="74">
                  <c:v>24404</c:v>
                </c:pt>
                <c:pt idx="75">
                  <c:v>22665</c:v>
                </c:pt>
                <c:pt idx="76">
                  <c:v>23357</c:v>
                </c:pt>
                <c:pt idx="77">
                  <c:v>23441</c:v>
                </c:pt>
                <c:pt idx="78">
                  <c:v>23660</c:v>
                </c:pt>
                <c:pt idx="79">
                  <c:v>22639</c:v>
                </c:pt>
                <c:pt idx="80">
                  <c:v>23161</c:v>
                </c:pt>
                <c:pt idx="81">
                  <c:v>24507</c:v>
                </c:pt>
                <c:pt idx="82">
                  <c:v>23729</c:v>
                </c:pt>
                <c:pt idx="83">
                  <c:v>23317</c:v>
                </c:pt>
                <c:pt idx="84">
                  <c:v>22985</c:v>
                </c:pt>
                <c:pt idx="85">
                  <c:v>21243</c:v>
                </c:pt>
                <c:pt idx="86">
                  <c:v>24490</c:v>
                </c:pt>
                <c:pt idx="87">
                  <c:v>23171</c:v>
                </c:pt>
                <c:pt idx="88">
                  <c:v>24818</c:v>
                </c:pt>
                <c:pt idx="89">
                  <c:v>24628</c:v>
                </c:pt>
                <c:pt idx="90">
                  <c:v>24324</c:v>
                </c:pt>
                <c:pt idx="91">
                  <c:v>22611</c:v>
                </c:pt>
                <c:pt idx="92">
                  <c:v>22602</c:v>
                </c:pt>
                <c:pt idx="93">
                  <c:v>24475</c:v>
                </c:pt>
                <c:pt idx="94">
                  <c:v>24719</c:v>
                </c:pt>
                <c:pt idx="95">
                  <c:v>23956</c:v>
                </c:pt>
                <c:pt idx="96">
                  <c:v>22316</c:v>
                </c:pt>
                <c:pt idx="97">
                  <c:v>22028</c:v>
                </c:pt>
                <c:pt idx="98">
                  <c:v>23117</c:v>
                </c:pt>
                <c:pt idx="99">
                  <c:v>23149</c:v>
                </c:pt>
                <c:pt idx="100">
                  <c:v>25374</c:v>
                </c:pt>
                <c:pt idx="101">
                  <c:v>24722</c:v>
                </c:pt>
                <c:pt idx="102">
                  <c:v>25837</c:v>
                </c:pt>
                <c:pt idx="103">
                  <c:v>25176</c:v>
                </c:pt>
                <c:pt idx="104">
                  <c:v>24999</c:v>
                </c:pt>
                <c:pt idx="105">
                  <c:v>26303</c:v>
                </c:pt>
                <c:pt idx="106">
                  <c:v>25384</c:v>
                </c:pt>
                <c:pt idx="107">
                  <c:v>25728</c:v>
                </c:pt>
              </c:numCache>
            </c:numRef>
          </c:xVal>
          <c:yVal>
            <c:numRef>
              <c:f>Regression!$H$2:$H$109</c:f>
              <c:numCache>
                <c:formatCode>General</c:formatCode>
                <c:ptCount val="108"/>
                <c:pt idx="0">
                  <c:v>51461</c:v>
                </c:pt>
                <c:pt idx="1">
                  <c:v>53832</c:v>
                </c:pt>
                <c:pt idx="2">
                  <c:v>50014</c:v>
                </c:pt>
                <c:pt idx="3">
                  <c:v>52480</c:v>
                </c:pt>
                <c:pt idx="4">
                  <c:v>53707</c:v>
                </c:pt>
                <c:pt idx="5">
                  <c:v>48965</c:v>
                </c:pt>
                <c:pt idx="6">
                  <c:v>44580</c:v>
                </c:pt>
                <c:pt idx="7">
                  <c:v>40160</c:v>
                </c:pt>
                <c:pt idx="8">
                  <c:v>34534</c:v>
                </c:pt>
                <c:pt idx="9">
                  <c:v>35822</c:v>
                </c:pt>
                <c:pt idx="10">
                  <c:v>28740</c:v>
                </c:pt>
                <c:pt idx="11">
                  <c:v>31851</c:v>
                </c:pt>
                <c:pt idx="12">
                  <c:v>22242</c:v>
                </c:pt>
                <c:pt idx="13">
                  <c:v>22378</c:v>
                </c:pt>
                <c:pt idx="14">
                  <c:v>28958</c:v>
                </c:pt>
                <c:pt idx="15">
                  <c:v>31111</c:v>
                </c:pt>
                <c:pt idx="16">
                  <c:v>36274</c:v>
                </c:pt>
                <c:pt idx="17">
                  <c:v>42760</c:v>
                </c:pt>
                <c:pt idx="18">
                  <c:v>52545</c:v>
                </c:pt>
                <c:pt idx="19">
                  <c:v>49219</c:v>
                </c:pt>
                <c:pt idx="20">
                  <c:v>50318</c:v>
                </c:pt>
                <c:pt idx="21">
                  <c:v>54953</c:v>
                </c:pt>
                <c:pt idx="22">
                  <c:v>51675</c:v>
                </c:pt>
                <c:pt idx="23">
                  <c:v>64459</c:v>
                </c:pt>
                <c:pt idx="24">
                  <c:v>34067</c:v>
                </c:pt>
                <c:pt idx="25">
                  <c:v>38023</c:v>
                </c:pt>
                <c:pt idx="26">
                  <c:v>44487</c:v>
                </c:pt>
                <c:pt idx="27">
                  <c:v>44434</c:v>
                </c:pt>
                <c:pt idx="28">
                  <c:v>44515</c:v>
                </c:pt>
                <c:pt idx="29">
                  <c:v>54289</c:v>
                </c:pt>
                <c:pt idx="30">
                  <c:v>58555</c:v>
                </c:pt>
                <c:pt idx="31">
                  <c:v>53477</c:v>
                </c:pt>
                <c:pt idx="32">
                  <c:v>50395</c:v>
                </c:pt>
                <c:pt idx="33">
                  <c:v>49662</c:v>
                </c:pt>
                <c:pt idx="34">
                  <c:v>47959</c:v>
                </c:pt>
                <c:pt idx="35">
                  <c:v>47823</c:v>
                </c:pt>
                <c:pt idx="36">
                  <c:v>34048</c:v>
                </c:pt>
                <c:pt idx="37">
                  <c:v>34838</c:v>
                </c:pt>
                <c:pt idx="38">
                  <c:v>40719</c:v>
                </c:pt>
                <c:pt idx="39">
                  <c:v>43431</c:v>
                </c:pt>
                <c:pt idx="40">
                  <c:v>41353</c:v>
                </c:pt>
                <c:pt idx="41">
                  <c:v>48971</c:v>
                </c:pt>
                <c:pt idx="42">
                  <c:v>54040</c:v>
                </c:pt>
                <c:pt idx="43">
                  <c:v>55412</c:v>
                </c:pt>
                <c:pt idx="44">
                  <c:v>54726</c:v>
                </c:pt>
                <c:pt idx="45">
                  <c:v>49349</c:v>
                </c:pt>
                <c:pt idx="46">
                  <c:v>50738</c:v>
                </c:pt>
                <c:pt idx="47">
                  <c:v>53378</c:v>
                </c:pt>
                <c:pt idx="48">
                  <c:v>38991</c:v>
                </c:pt>
                <c:pt idx="49">
                  <c:v>39820</c:v>
                </c:pt>
                <c:pt idx="50">
                  <c:v>54431</c:v>
                </c:pt>
                <c:pt idx="51">
                  <c:v>36927</c:v>
                </c:pt>
                <c:pt idx="52">
                  <c:v>45371</c:v>
                </c:pt>
                <c:pt idx="53">
                  <c:v>50541</c:v>
                </c:pt>
                <c:pt idx="54">
                  <c:v>52615</c:v>
                </c:pt>
                <c:pt idx="55">
                  <c:v>56536</c:v>
                </c:pt>
                <c:pt idx="56">
                  <c:v>47313</c:v>
                </c:pt>
                <c:pt idx="57">
                  <c:v>50666</c:v>
                </c:pt>
                <c:pt idx="58">
                  <c:v>53929</c:v>
                </c:pt>
                <c:pt idx="59">
                  <c:v>47945</c:v>
                </c:pt>
                <c:pt idx="60">
                  <c:v>39477</c:v>
                </c:pt>
                <c:pt idx="61">
                  <c:v>39848</c:v>
                </c:pt>
                <c:pt idx="62">
                  <c:v>46678</c:v>
                </c:pt>
                <c:pt idx="63">
                  <c:v>44490</c:v>
                </c:pt>
                <c:pt idx="64">
                  <c:v>56133</c:v>
                </c:pt>
                <c:pt idx="65">
                  <c:v>56138</c:v>
                </c:pt>
                <c:pt idx="66">
                  <c:v>65271</c:v>
                </c:pt>
                <c:pt idx="67">
                  <c:v>68990</c:v>
                </c:pt>
                <c:pt idx="68">
                  <c:v>62128</c:v>
                </c:pt>
                <c:pt idx="69">
                  <c:v>67650</c:v>
                </c:pt>
                <c:pt idx="70">
                  <c:v>71884</c:v>
                </c:pt>
                <c:pt idx="71">
                  <c:v>68696</c:v>
                </c:pt>
                <c:pt idx="72">
                  <c:v>59568</c:v>
                </c:pt>
                <c:pt idx="73">
                  <c:v>57645</c:v>
                </c:pt>
                <c:pt idx="74">
                  <c:v>59558</c:v>
                </c:pt>
                <c:pt idx="75">
                  <c:v>61570</c:v>
                </c:pt>
                <c:pt idx="76">
                  <c:v>65719</c:v>
                </c:pt>
                <c:pt idx="77">
                  <c:v>68633</c:v>
                </c:pt>
                <c:pt idx="78">
                  <c:v>72812</c:v>
                </c:pt>
                <c:pt idx="79">
                  <c:v>73870</c:v>
                </c:pt>
                <c:pt idx="80">
                  <c:v>67642</c:v>
                </c:pt>
                <c:pt idx="81">
                  <c:v>72234</c:v>
                </c:pt>
                <c:pt idx="82">
                  <c:v>61284</c:v>
                </c:pt>
                <c:pt idx="83">
                  <c:v>65590</c:v>
                </c:pt>
                <c:pt idx="84">
                  <c:v>50914</c:v>
                </c:pt>
                <c:pt idx="85">
                  <c:v>50616</c:v>
                </c:pt>
                <c:pt idx="86">
                  <c:v>57058</c:v>
                </c:pt>
                <c:pt idx="87">
                  <c:v>54602</c:v>
                </c:pt>
                <c:pt idx="88">
                  <c:v>61003</c:v>
                </c:pt>
                <c:pt idx="89">
                  <c:v>71022</c:v>
                </c:pt>
                <c:pt idx="90">
                  <c:v>77860</c:v>
                </c:pt>
                <c:pt idx="91">
                  <c:v>70037</c:v>
                </c:pt>
                <c:pt idx="92">
                  <c:v>70028</c:v>
                </c:pt>
                <c:pt idx="93">
                  <c:v>74213</c:v>
                </c:pt>
                <c:pt idx="94">
                  <c:v>66359</c:v>
                </c:pt>
                <c:pt idx="95">
                  <c:v>66746</c:v>
                </c:pt>
                <c:pt idx="96">
                  <c:v>51950</c:v>
                </c:pt>
                <c:pt idx="97">
                  <c:v>55385</c:v>
                </c:pt>
                <c:pt idx="98">
                  <c:v>107610</c:v>
                </c:pt>
                <c:pt idx="99">
                  <c:v>41972</c:v>
                </c:pt>
                <c:pt idx="100">
                  <c:v>48164</c:v>
                </c:pt>
                <c:pt idx="101">
                  <c:v>60519</c:v>
                </c:pt>
                <c:pt idx="102">
                  <c:v>63760</c:v>
                </c:pt>
                <c:pt idx="103">
                  <c:v>63514</c:v>
                </c:pt>
                <c:pt idx="104">
                  <c:v>60962</c:v>
                </c:pt>
                <c:pt idx="105">
                  <c:v>58015</c:v>
                </c:pt>
                <c:pt idx="106">
                  <c:v>59633</c:v>
                </c:pt>
                <c:pt idx="107">
                  <c:v>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5-4CF5-BE10-DC15E350A8AF}"/>
            </c:ext>
          </c:extLst>
        </c:ser>
        <c:ser>
          <c:idx val="1"/>
          <c:order val="1"/>
          <c:tx>
            <c:v>Predicted Number of Houses Sold</c:v>
          </c:tx>
          <c:spPr>
            <a:ln w="19050">
              <a:noFill/>
            </a:ln>
          </c:spPr>
          <c:xVal>
            <c:numRef>
              <c:f>Regression!$C$2:$C$109</c:f>
              <c:numCache>
                <c:formatCode>General</c:formatCode>
                <c:ptCount val="108"/>
                <c:pt idx="0">
                  <c:v>24014</c:v>
                </c:pt>
                <c:pt idx="1">
                  <c:v>22980</c:v>
                </c:pt>
                <c:pt idx="2">
                  <c:v>23632</c:v>
                </c:pt>
                <c:pt idx="3">
                  <c:v>23660</c:v>
                </c:pt>
                <c:pt idx="4">
                  <c:v>23695</c:v>
                </c:pt>
                <c:pt idx="5">
                  <c:v>23794</c:v>
                </c:pt>
                <c:pt idx="6">
                  <c:v>24814</c:v>
                </c:pt>
                <c:pt idx="7">
                  <c:v>22791</c:v>
                </c:pt>
                <c:pt idx="8">
                  <c:v>22738</c:v>
                </c:pt>
                <c:pt idx="9">
                  <c:v>25478</c:v>
                </c:pt>
                <c:pt idx="10">
                  <c:v>24008</c:v>
                </c:pt>
                <c:pt idx="11">
                  <c:v>22088</c:v>
                </c:pt>
                <c:pt idx="12">
                  <c:v>22332</c:v>
                </c:pt>
                <c:pt idx="13">
                  <c:v>20819</c:v>
                </c:pt>
                <c:pt idx="14">
                  <c:v>24219</c:v>
                </c:pt>
                <c:pt idx="15">
                  <c:v>23403</c:v>
                </c:pt>
                <c:pt idx="16">
                  <c:v>24439</c:v>
                </c:pt>
                <c:pt idx="17">
                  <c:v>24638</c:v>
                </c:pt>
                <c:pt idx="18">
                  <c:v>24955</c:v>
                </c:pt>
                <c:pt idx="19">
                  <c:v>22595</c:v>
                </c:pt>
                <c:pt idx="20">
                  <c:v>22728</c:v>
                </c:pt>
                <c:pt idx="21">
                  <c:v>24253</c:v>
                </c:pt>
                <c:pt idx="22">
                  <c:v>23415</c:v>
                </c:pt>
                <c:pt idx="23">
                  <c:v>21696</c:v>
                </c:pt>
                <c:pt idx="24">
                  <c:v>21022</c:v>
                </c:pt>
                <c:pt idx="25">
                  <c:v>21523</c:v>
                </c:pt>
                <c:pt idx="26">
                  <c:v>25578</c:v>
                </c:pt>
                <c:pt idx="27">
                  <c:v>24534</c:v>
                </c:pt>
                <c:pt idx="28">
                  <c:v>25045</c:v>
                </c:pt>
                <c:pt idx="29">
                  <c:v>25637</c:v>
                </c:pt>
                <c:pt idx="30">
                  <c:v>25928</c:v>
                </c:pt>
                <c:pt idx="31">
                  <c:v>23763</c:v>
                </c:pt>
                <c:pt idx="32">
                  <c:v>25215</c:v>
                </c:pt>
                <c:pt idx="33">
                  <c:v>26293</c:v>
                </c:pt>
                <c:pt idx="34">
                  <c:v>25417</c:v>
                </c:pt>
                <c:pt idx="35">
                  <c:v>20969</c:v>
                </c:pt>
                <c:pt idx="36">
                  <c:v>23277</c:v>
                </c:pt>
                <c:pt idx="37">
                  <c:v>22743</c:v>
                </c:pt>
                <c:pt idx="38">
                  <c:v>25900</c:v>
                </c:pt>
                <c:pt idx="39">
                  <c:v>24810</c:v>
                </c:pt>
                <c:pt idx="40">
                  <c:v>27359</c:v>
                </c:pt>
                <c:pt idx="41">
                  <c:v>27029</c:v>
                </c:pt>
                <c:pt idx="42">
                  <c:v>26332</c:v>
                </c:pt>
                <c:pt idx="43">
                  <c:v>23926</c:v>
                </c:pt>
                <c:pt idx="44">
                  <c:v>25300</c:v>
                </c:pt>
                <c:pt idx="45">
                  <c:v>27928</c:v>
                </c:pt>
                <c:pt idx="46">
                  <c:v>28490</c:v>
                </c:pt>
                <c:pt idx="47">
                  <c:v>26198</c:v>
                </c:pt>
                <c:pt idx="48">
                  <c:v>27445</c:v>
                </c:pt>
                <c:pt idx="49">
                  <c:v>25001</c:v>
                </c:pt>
                <c:pt idx="50">
                  <c:v>31076</c:v>
                </c:pt>
                <c:pt idx="51">
                  <c:v>26646</c:v>
                </c:pt>
                <c:pt idx="52">
                  <c:v>29823</c:v>
                </c:pt>
                <c:pt idx="53">
                  <c:v>28152</c:v>
                </c:pt>
                <c:pt idx="54">
                  <c:v>28878</c:v>
                </c:pt>
                <c:pt idx="55">
                  <c:v>27442</c:v>
                </c:pt>
                <c:pt idx="56">
                  <c:v>25361</c:v>
                </c:pt>
                <c:pt idx="57">
                  <c:v>28871</c:v>
                </c:pt>
                <c:pt idx="58">
                  <c:v>28705</c:v>
                </c:pt>
                <c:pt idx="59">
                  <c:v>26654</c:v>
                </c:pt>
                <c:pt idx="60">
                  <c:v>26626</c:v>
                </c:pt>
                <c:pt idx="61">
                  <c:v>25410</c:v>
                </c:pt>
                <c:pt idx="62">
                  <c:v>25969</c:v>
                </c:pt>
                <c:pt idx="63">
                  <c:v>25219</c:v>
                </c:pt>
                <c:pt idx="64">
                  <c:v>25126</c:v>
                </c:pt>
                <c:pt idx="65">
                  <c:v>25686</c:v>
                </c:pt>
                <c:pt idx="66">
                  <c:v>26852</c:v>
                </c:pt>
                <c:pt idx="67">
                  <c:v>25714</c:v>
                </c:pt>
                <c:pt idx="68">
                  <c:v>24870</c:v>
                </c:pt>
                <c:pt idx="69">
                  <c:v>26978</c:v>
                </c:pt>
                <c:pt idx="70">
                  <c:v>24961</c:v>
                </c:pt>
                <c:pt idx="71">
                  <c:v>22961</c:v>
                </c:pt>
                <c:pt idx="72">
                  <c:v>23285</c:v>
                </c:pt>
                <c:pt idx="73">
                  <c:v>21715</c:v>
                </c:pt>
                <c:pt idx="74">
                  <c:v>24404</c:v>
                </c:pt>
                <c:pt idx="75">
                  <c:v>22665</c:v>
                </c:pt>
                <c:pt idx="76">
                  <c:v>23357</c:v>
                </c:pt>
                <c:pt idx="77">
                  <c:v>23441</c:v>
                </c:pt>
                <c:pt idx="78">
                  <c:v>23660</c:v>
                </c:pt>
                <c:pt idx="79">
                  <c:v>22639</c:v>
                </c:pt>
                <c:pt idx="80">
                  <c:v>23161</c:v>
                </c:pt>
                <c:pt idx="81">
                  <c:v>24507</c:v>
                </c:pt>
                <c:pt idx="82">
                  <c:v>23729</c:v>
                </c:pt>
                <c:pt idx="83">
                  <c:v>23317</c:v>
                </c:pt>
                <c:pt idx="84">
                  <c:v>22985</c:v>
                </c:pt>
                <c:pt idx="85">
                  <c:v>21243</c:v>
                </c:pt>
                <c:pt idx="86">
                  <c:v>24490</c:v>
                </c:pt>
                <c:pt idx="87">
                  <c:v>23171</c:v>
                </c:pt>
                <c:pt idx="88">
                  <c:v>24818</c:v>
                </c:pt>
                <c:pt idx="89">
                  <c:v>24628</c:v>
                </c:pt>
                <c:pt idx="90">
                  <c:v>24324</c:v>
                </c:pt>
                <c:pt idx="91">
                  <c:v>22611</c:v>
                </c:pt>
                <c:pt idx="92">
                  <c:v>22602</c:v>
                </c:pt>
                <c:pt idx="93">
                  <c:v>24475</c:v>
                </c:pt>
                <c:pt idx="94">
                  <c:v>24719</c:v>
                </c:pt>
                <c:pt idx="95">
                  <c:v>23956</c:v>
                </c:pt>
                <c:pt idx="96">
                  <c:v>22316</c:v>
                </c:pt>
                <c:pt idx="97">
                  <c:v>22028</c:v>
                </c:pt>
                <c:pt idx="98">
                  <c:v>23117</c:v>
                </c:pt>
                <c:pt idx="99">
                  <c:v>23149</c:v>
                </c:pt>
                <c:pt idx="100">
                  <c:v>25374</c:v>
                </c:pt>
                <c:pt idx="101">
                  <c:v>24722</c:v>
                </c:pt>
                <c:pt idx="102">
                  <c:v>25837</c:v>
                </c:pt>
                <c:pt idx="103">
                  <c:v>25176</c:v>
                </c:pt>
                <c:pt idx="104">
                  <c:v>24999</c:v>
                </c:pt>
                <c:pt idx="105">
                  <c:v>26303</c:v>
                </c:pt>
                <c:pt idx="106">
                  <c:v>25384</c:v>
                </c:pt>
                <c:pt idx="107">
                  <c:v>25728</c:v>
                </c:pt>
              </c:numCache>
            </c:numRef>
          </c:xVal>
          <c:yVal>
            <c:numRef>
              <c:f>Regression!$K$32:$K$139</c:f>
              <c:numCache>
                <c:formatCode>General</c:formatCode>
                <c:ptCount val="108"/>
                <c:pt idx="0">
                  <c:v>35477.16001282035</c:v>
                </c:pt>
                <c:pt idx="1">
                  <c:v>42116.911596510123</c:v>
                </c:pt>
                <c:pt idx="2">
                  <c:v>41812.423084276772</c:v>
                </c:pt>
                <c:pt idx="3">
                  <c:v>41605.272174591126</c:v>
                </c:pt>
                <c:pt idx="4">
                  <c:v>43994.775214472647</c:v>
                </c:pt>
                <c:pt idx="5">
                  <c:v>44914.746079599689</c:v>
                </c:pt>
                <c:pt idx="6">
                  <c:v>48694.356752035077</c:v>
                </c:pt>
                <c:pt idx="7">
                  <c:v>45694.857169238981</c:v>
                </c:pt>
                <c:pt idx="8">
                  <c:v>47040.123737578324</c:v>
                </c:pt>
                <c:pt idx="9">
                  <c:v>47846.670118440357</c:v>
                </c:pt>
                <c:pt idx="10">
                  <c:v>44715.583074626004</c:v>
                </c:pt>
                <c:pt idx="11">
                  <c:v>42070.291159727094</c:v>
                </c:pt>
                <c:pt idx="12">
                  <c:v>39153.457571887026</c:v>
                </c:pt>
                <c:pt idx="13">
                  <c:v>42703.590184658882</c:v>
                </c:pt>
                <c:pt idx="14">
                  <c:v>41494.308848636472</c:v>
                </c:pt>
                <c:pt idx="15">
                  <c:v>39226.195178386195</c:v>
                </c:pt>
                <c:pt idx="16">
                  <c:v>40005.383374220699</c:v>
                </c:pt>
                <c:pt idx="17">
                  <c:v>45239.384917020841</c:v>
                </c:pt>
                <c:pt idx="18">
                  <c:v>47287.112068702278</c:v>
                </c:pt>
                <c:pt idx="19">
                  <c:v>46540.004576840074</c:v>
                </c:pt>
                <c:pt idx="20">
                  <c:v>45509.432257316032</c:v>
                </c:pt>
                <c:pt idx="21">
                  <c:v>46882.747618418674</c:v>
                </c:pt>
                <c:pt idx="22">
                  <c:v>47174.621347339955</c:v>
                </c:pt>
                <c:pt idx="23">
                  <c:v>46516.735850481469</c:v>
                </c:pt>
                <c:pt idx="24">
                  <c:v>44421.536054351476</c:v>
                </c:pt>
                <c:pt idx="25">
                  <c:v>44421.674514053753</c:v>
                </c:pt>
                <c:pt idx="26">
                  <c:v>41635.427266648025</c:v>
                </c:pt>
                <c:pt idx="27">
                  <c:v>44577.390939029356</c:v>
                </c:pt>
                <c:pt idx="28">
                  <c:v>44548.176261002074</c:v>
                </c:pt>
                <c:pt idx="29">
                  <c:v>47763.158328273836</c:v>
                </c:pt>
                <c:pt idx="30">
                  <c:v>51269.851561836083</c:v>
                </c:pt>
                <c:pt idx="31">
                  <c:v>50508.698983940762</c:v>
                </c:pt>
                <c:pt idx="32">
                  <c:v>49928.694634559943</c:v>
                </c:pt>
                <c:pt idx="33">
                  <c:v>48760.763721542564</c:v>
                </c:pt>
                <c:pt idx="34">
                  <c:v>43204.141936078115</c:v>
                </c:pt>
                <c:pt idx="35">
                  <c:v>40858.622942943679</c:v>
                </c:pt>
                <c:pt idx="36">
                  <c:v>39294.447605055117</c:v>
                </c:pt>
                <c:pt idx="37">
                  <c:v>42792.061758825977</c:v>
                </c:pt>
                <c:pt idx="38">
                  <c:v>43961.065412561671</c:v>
                </c:pt>
                <c:pt idx="39">
                  <c:v>42538.885857776011</c:v>
                </c:pt>
                <c:pt idx="40">
                  <c:v>43139.289385410601</c:v>
                </c:pt>
                <c:pt idx="41">
                  <c:v>48170.332397597114</c:v>
                </c:pt>
                <c:pt idx="42">
                  <c:v>46678.401899032593</c:v>
                </c:pt>
                <c:pt idx="43">
                  <c:v>40267.960218861845</c:v>
                </c:pt>
                <c:pt idx="44">
                  <c:v>50054.646194956687</c:v>
                </c:pt>
                <c:pt idx="45">
                  <c:v>49203.587317047059</c:v>
                </c:pt>
                <c:pt idx="46">
                  <c:v>47024.257184190974</c:v>
                </c:pt>
                <c:pt idx="47">
                  <c:v>46091.41064931525</c:v>
                </c:pt>
                <c:pt idx="48">
                  <c:v>47498.047194478742</c:v>
                </c:pt>
                <c:pt idx="49">
                  <c:v>47623.587878839418</c:v>
                </c:pt>
                <c:pt idx="50">
                  <c:v>49857.71059202707</c:v>
                </c:pt>
                <c:pt idx="51">
                  <c:v>48523.502340569001</c:v>
                </c:pt>
                <c:pt idx="52">
                  <c:v>53886.059889583114</c:v>
                </c:pt>
                <c:pt idx="53">
                  <c:v>51731.903041398706</c:v>
                </c:pt>
                <c:pt idx="54">
                  <c:v>55308.94741591093</c:v>
                </c:pt>
                <c:pt idx="55">
                  <c:v>55588.608783906988</c:v>
                </c:pt>
                <c:pt idx="56">
                  <c:v>53561.131633659272</c:v>
                </c:pt>
                <c:pt idx="57">
                  <c:v>54647.082634772218</c:v>
                </c:pt>
                <c:pt idx="58">
                  <c:v>49664.335697537201</c:v>
                </c:pt>
                <c:pt idx="59">
                  <c:v>50733.843925408713</c:v>
                </c:pt>
                <c:pt idx="60">
                  <c:v>51281.504112029113</c:v>
                </c:pt>
                <c:pt idx="61">
                  <c:v>52952.023297101143</c:v>
                </c:pt>
                <c:pt idx="62">
                  <c:v>53902.336013295651</c:v>
                </c:pt>
                <c:pt idx="63">
                  <c:v>54795.063407963353</c:v>
                </c:pt>
                <c:pt idx="64">
                  <c:v>54889.150247862315</c:v>
                </c:pt>
                <c:pt idx="65">
                  <c:v>56267.288463396202</c:v>
                </c:pt>
                <c:pt idx="66">
                  <c:v>57153.706153777253</c:v>
                </c:pt>
                <c:pt idx="67">
                  <c:v>55428.594253818352</c:v>
                </c:pt>
                <c:pt idx="68">
                  <c:v>55279.840729203577</c:v>
                </c:pt>
                <c:pt idx="69">
                  <c:v>58321.997954035221</c:v>
                </c:pt>
                <c:pt idx="70">
                  <c:v>54117.705032935002</c:v>
                </c:pt>
                <c:pt idx="71">
                  <c:v>54292.638336532182</c:v>
                </c:pt>
                <c:pt idx="72">
                  <c:v>53607.557807917736</c:v>
                </c:pt>
                <c:pt idx="73">
                  <c:v>55990.056128404249</c:v>
                </c:pt>
                <c:pt idx="74">
                  <c:v>61428.688974689016</c:v>
                </c:pt>
                <c:pt idx="75">
                  <c:v>61009.350337959288</c:v>
                </c:pt>
                <c:pt idx="76">
                  <c:v>62503.709798071592</c:v>
                </c:pt>
                <c:pt idx="77">
                  <c:v>63771.146733431902</c:v>
                </c:pt>
                <c:pt idx="78">
                  <c:v>65481.27786608148</c:v>
                </c:pt>
                <c:pt idx="79">
                  <c:v>61969.820439055336</c:v>
                </c:pt>
                <c:pt idx="80">
                  <c:v>62956.530522841182</c:v>
                </c:pt>
                <c:pt idx="81">
                  <c:v>61399.496585819739</c:v>
                </c:pt>
                <c:pt idx="82">
                  <c:v>60324.821963278897</c:v>
                </c:pt>
                <c:pt idx="83">
                  <c:v>59703.349108706621</c:v>
                </c:pt>
                <c:pt idx="84">
                  <c:v>61545.9656967068</c:v>
                </c:pt>
                <c:pt idx="85">
                  <c:v>60885.081975868772</c:v>
                </c:pt>
                <c:pt idx="86">
                  <c:v>62718.090664384334</c:v>
                </c:pt>
                <c:pt idx="87">
                  <c:v>62356.531475584037</c:v>
                </c:pt>
                <c:pt idx="88">
                  <c:v>65317.613379103306</c:v>
                </c:pt>
                <c:pt idx="89">
                  <c:v>67922.313067655923</c:v>
                </c:pt>
                <c:pt idx="90">
                  <c:v>66881.035763897613</c:v>
                </c:pt>
                <c:pt idx="91">
                  <c:v>64782.719909563639</c:v>
                </c:pt>
                <c:pt idx="92">
                  <c:v>65636.795977933871</c:v>
                </c:pt>
                <c:pt idx="93">
                  <c:v>66789.153245711481</c:v>
                </c:pt>
                <c:pt idx="94">
                  <c:v>63450.938535241694</c:v>
                </c:pt>
                <c:pt idx="95">
                  <c:v>63685.701699664656</c:v>
                </c:pt>
                <c:pt idx="96">
                  <c:v>62397.009321874866</c:v>
                </c:pt>
                <c:pt idx="97">
                  <c:v>63420.850171684113</c:v>
                </c:pt>
                <c:pt idx="98">
                  <c:v>65516.008069766285</c:v>
                </c:pt>
                <c:pt idx="99">
                  <c:v>67306.49383915207</c:v>
                </c:pt>
                <c:pt idx="100">
                  <c:v>67887.495910557394</c:v>
                </c:pt>
                <c:pt idx="101">
                  <c:v>67850.043150706479</c:v>
                </c:pt>
                <c:pt idx="102">
                  <c:v>69070.422520674547</c:v>
                </c:pt>
                <c:pt idx="103">
                  <c:v>67150.550612981373</c:v>
                </c:pt>
                <c:pt idx="104">
                  <c:v>67211.651351849432</c:v>
                </c:pt>
                <c:pt idx="105">
                  <c:v>67495.686828975216</c:v>
                </c:pt>
                <c:pt idx="106">
                  <c:v>65023.873212856488</c:v>
                </c:pt>
                <c:pt idx="107">
                  <c:v>61413.931328591527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5-4CF5-BE10-DC15E350A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09984"/>
        <c:axId val="861330560"/>
      </c:scatterChart>
      <c:valAx>
        <c:axId val="777809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Theft and Handling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1330560"/>
        <c:crosses val="autoZero"/>
        <c:crossBetween val="midCat"/>
      </c:valAx>
      <c:valAx>
        <c:axId val="861330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Number of Houses Sold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778099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Robbery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Number of Houses Sold</c:v>
          </c:tx>
          <c:spPr>
            <a:ln w="19050">
              <a:noFill/>
            </a:ln>
          </c:spPr>
          <c:xVal>
            <c:numRef>
              <c:f>Regression!$D$2:$D$109</c:f>
              <c:numCache>
                <c:formatCode>General</c:formatCode>
                <c:ptCount val="108"/>
                <c:pt idx="0">
                  <c:v>2887</c:v>
                </c:pt>
                <c:pt idx="1">
                  <c:v>2455</c:v>
                </c:pt>
                <c:pt idx="2">
                  <c:v>2585</c:v>
                </c:pt>
                <c:pt idx="3">
                  <c:v>2498</c:v>
                </c:pt>
                <c:pt idx="4">
                  <c:v>2490</c:v>
                </c:pt>
                <c:pt idx="5">
                  <c:v>2448</c:v>
                </c:pt>
                <c:pt idx="6">
                  <c:v>2390</c:v>
                </c:pt>
                <c:pt idx="7">
                  <c:v>2275</c:v>
                </c:pt>
                <c:pt idx="8">
                  <c:v>2206</c:v>
                </c:pt>
                <c:pt idx="9">
                  <c:v>2520</c:v>
                </c:pt>
                <c:pt idx="10">
                  <c:v>2588</c:v>
                </c:pt>
                <c:pt idx="11">
                  <c:v>2285</c:v>
                </c:pt>
                <c:pt idx="12">
                  <c:v>2592</c:v>
                </c:pt>
                <c:pt idx="13">
                  <c:v>2349</c:v>
                </c:pt>
                <c:pt idx="14">
                  <c:v>2612</c:v>
                </c:pt>
                <c:pt idx="15">
                  <c:v>2589</c:v>
                </c:pt>
                <c:pt idx="16">
                  <c:v>2707</c:v>
                </c:pt>
                <c:pt idx="17">
                  <c:v>2497</c:v>
                </c:pt>
                <c:pt idx="18">
                  <c:v>2434</c:v>
                </c:pt>
                <c:pt idx="19">
                  <c:v>2251</c:v>
                </c:pt>
                <c:pt idx="20">
                  <c:v>2288</c:v>
                </c:pt>
                <c:pt idx="21">
                  <c:v>2584</c:v>
                </c:pt>
                <c:pt idx="22">
                  <c:v>2314</c:v>
                </c:pt>
                <c:pt idx="23">
                  <c:v>2351</c:v>
                </c:pt>
                <c:pt idx="24">
                  <c:v>2562</c:v>
                </c:pt>
                <c:pt idx="25">
                  <c:v>2629</c:v>
                </c:pt>
                <c:pt idx="26">
                  <c:v>3176</c:v>
                </c:pt>
                <c:pt idx="27">
                  <c:v>2719</c:v>
                </c:pt>
                <c:pt idx="28">
                  <c:v>3014</c:v>
                </c:pt>
                <c:pt idx="29">
                  <c:v>2701</c:v>
                </c:pt>
                <c:pt idx="30">
                  <c:v>2544</c:v>
                </c:pt>
                <c:pt idx="31">
                  <c:v>2306</c:v>
                </c:pt>
                <c:pt idx="32">
                  <c:v>2520</c:v>
                </c:pt>
                <c:pt idx="33">
                  <c:v>2706</c:v>
                </c:pt>
                <c:pt idx="34">
                  <c:v>2786</c:v>
                </c:pt>
                <c:pt idx="35">
                  <c:v>2678</c:v>
                </c:pt>
                <c:pt idx="36">
                  <c:v>3059</c:v>
                </c:pt>
                <c:pt idx="37">
                  <c:v>2940</c:v>
                </c:pt>
                <c:pt idx="38">
                  <c:v>3102</c:v>
                </c:pt>
                <c:pt idx="39">
                  <c:v>3077</c:v>
                </c:pt>
                <c:pt idx="40">
                  <c:v>3395</c:v>
                </c:pt>
                <c:pt idx="41">
                  <c:v>3124</c:v>
                </c:pt>
                <c:pt idx="42">
                  <c:v>3268</c:v>
                </c:pt>
                <c:pt idx="43">
                  <c:v>2869</c:v>
                </c:pt>
                <c:pt idx="44">
                  <c:v>2654</c:v>
                </c:pt>
                <c:pt idx="45">
                  <c:v>3050</c:v>
                </c:pt>
                <c:pt idx="46">
                  <c:v>3296</c:v>
                </c:pt>
                <c:pt idx="47">
                  <c:v>2845</c:v>
                </c:pt>
                <c:pt idx="48">
                  <c:v>2944</c:v>
                </c:pt>
                <c:pt idx="49">
                  <c:v>2796</c:v>
                </c:pt>
                <c:pt idx="50">
                  <c:v>3330</c:v>
                </c:pt>
                <c:pt idx="51">
                  <c:v>2994</c:v>
                </c:pt>
                <c:pt idx="52">
                  <c:v>3027</c:v>
                </c:pt>
                <c:pt idx="53">
                  <c:v>2992</c:v>
                </c:pt>
                <c:pt idx="54">
                  <c:v>2990</c:v>
                </c:pt>
                <c:pt idx="55">
                  <c:v>2679</c:v>
                </c:pt>
                <c:pt idx="56">
                  <c:v>2700</c:v>
                </c:pt>
                <c:pt idx="57">
                  <c:v>2851</c:v>
                </c:pt>
                <c:pt idx="58">
                  <c:v>3055</c:v>
                </c:pt>
                <c:pt idx="59">
                  <c:v>2902</c:v>
                </c:pt>
                <c:pt idx="60">
                  <c:v>2719</c:v>
                </c:pt>
                <c:pt idx="61">
                  <c:v>2326</c:v>
                </c:pt>
                <c:pt idx="62">
                  <c:v>2606</c:v>
                </c:pt>
                <c:pt idx="63">
                  <c:v>2270</c:v>
                </c:pt>
                <c:pt idx="64">
                  <c:v>2397</c:v>
                </c:pt>
                <c:pt idx="65">
                  <c:v>2394</c:v>
                </c:pt>
                <c:pt idx="66">
                  <c:v>2693</c:v>
                </c:pt>
                <c:pt idx="67">
                  <c:v>2590</c:v>
                </c:pt>
                <c:pt idx="68">
                  <c:v>2460</c:v>
                </c:pt>
                <c:pt idx="69">
                  <c:v>2437</c:v>
                </c:pt>
                <c:pt idx="70">
                  <c:v>2407</c:v>
                </c:pt>
                <c:pt idx="71">
                  <c:v>2038</c:v>
                </c:pt>
                <c:pt idx="72">
                  <c:v>2165</c:v>
                </c:pt>
                <c:pt idx="73">
                  <c:v>1878</c:v>
                </c:pt>
                <c:pt idx="74">
                  <c:v>1877</c:v>
                </c:pt>
                <c:pt idx="75">
                  <c:v>1723</c:v>
                </c:pt>
                <c:pt idx="76">
                  <c:v>1814</c:v>
                </c:pt>
                <c:pt idx="77">
                  <c:v>1842</c:v>
                </c:pt>
                <c:pt idx="78">
                  <c:v>1687</c:v>
                </c:pt>
                <c:pt idx="79">
                  <c:v>1744</c:v>
                </c:pt>
                <c:pt idx="80">
                  <c:v>1743</c:v>
                </c:pt>
                <c:pt idx="81">
                  <c:v>1941</c:v>
                </c:pt>
                <c:pt idx="82">
                  <c:v>1888</c:v>
                </c:pt>
                <c:pt idx="83">
                  <c:v>1848</c:v>
                </c:pt>
                <c:pt idx="84">
                  <c:v>1795</c:v>
                </c:pt>
                <c:pt idx="85">
                  <c:v>1644</c:v>
                </c:pt>
                <c:pt idx="86">
                  <c:v>1862</c:v>
                </c:pt>
                <c:pt idx="87">
                  <c:v>1782</c:v>
                </c:pt>
                <c:pt idx="88">
                  <c:v>1889</c:v>
                </c:pt>
                <c:pt idx="89">
                  <c:v>1711</c:v>
                </c:pt>
                <c:pt idx="90">
                  <c:v>1789</c:v>
                </c:pt>
                <c:pt idx="91">
                  <c:v>1758</c:v>
                </c:pt>
                <c:pt idx="92">
                  <c:v>1721</c:v>
                </c:pt>
                <c:pt idx="93">
                  <c:v>1812</c:v>
                </c:pt>
                <c:pt idx="94">
                  <c:v>1864</c:v>
                </c:pt>
                <c:pt idx="95">
                  <c:v>1756</c:v>
                </c:pt>
                <c:pt idx="96">
                  <c:v>1810</c:v>
                </c:pt>
                <c:pt idx="97">
                  <c:v>1646</c:v>
                </c:pt>
                <c:pt idx="98">
                  <c:v>1711</c:v>
                </c:pt>
                <c:pt idx="99">
                  <c:v>1570</c:v>
                </c:pt>
                <c:pt idx="100">
                  <c:v>1787</c:v>
                </c:pt>
                <c:pt idx="101">
                  <c:v>1885</c:v>
                </c:pt>
                <c:pt idx="102">
                  <c:v>1960</c:v>
                </c:pt>
                <c:pt idx="103">
                  <c:v>1910</c:v>
                </c:pt>
                <c:pt idx="104">
                  <c:v>1980</c:v>
                </c:pt>
                <c:pt idx="105">
                  <c:v>2048</c:v>
                </c:pt>
                <c:pt idx="106">
                  <c:v>1983</c:v>
                </c:pt>
                <c:pt idx="107">
                  <c:v>2238</c:v>
                </c:pt>
              </c:numCache>
            </c:numRef>
          </c:xVal>
          <c:yVal>
            <c:numRef>
              <c:f>Regression!$H$2:$H$109</c:f>
              <c:numCache>
                <c:formatCode>General</c:formatCode>
                <c:ptCount val="108"/>
                <c:pt idx="0">
                  <c:v>51461</c:v>
                </c:pt>
                <c:pt idx="1">
                  <c:v>53832</c:v>
                </c:pt>
                <c:pt idx="2">
                  <c:v>50014</c:v>
                </c:pt>
                <c:pt idx="3">
                  <c:v>52480</c:v>
                </c:pt>
                <c:pt idx="4">
                  <c:v>53707</c:v>
                </c:pt>
                <c:pt idx="5">
                  <c:v>48965</c:v>
                </c:pt>
                <c:pt idx="6">
                  <c:v>44580</c:v>
                </c:pt>
                <c:pt idx="7">
                  <c:v>40160</c:v>
                </c:pt>
                <c:pt idx="8">
                  <c:v>34534</c:v>
                </c:pt>
                <c:pt idx="9">
                  <c:v>35822</c:v>
                </c:pt>
                <c:pt idx="10">
                  <c:v>28740</c:v>
                </c:pt>
                <c:pt idx="11">
                  <c:v>31851</c:v>
                </c:pt>
                <c:pt idx="12">
                  <c:v>22242</c:v>
                </c:pt>
                <c:pt idx="13">
                  <c:v>22378</c:v>
                </c:pt>
                <c:pt idx="14">
                  <c:v>28958</c:v>
                </c:pt>
                <c:pt idx="15">
                  <c:v>31111</c:v>
                </c:pt>
                <c:pt idx="16">
                  <c:v>36274</c:v>
                </c:pt>
                <c:pt idx="17">
                  <c:v>42760</c:v>
                </c:pt>
                <c:pt idx="18">
                  <c:v>52545</c:v>
                </c:pt>
                <c:pt idx="19">
                  <c:v>49219</c:v>
                </c:pt>
                <c:pt idx="20">
                  <c:v>50318</c:v>
                </c:pt>
                <c:pt idx="21">
                  <c:v>54953</c:v>
                </c:pt>
                <c:pt idx="22">
                  <c:v>51675</c:v>
                </c:pt>
                <c:pt idx="23">
                  <c:v>64459</c:v>
                </c:pt>
                <c:pt idx="24">
                  <c:v>34067</c:v>
                </c:pt>
                <c:pt idx="25">
                  <c:v>38023</c:v>
                </c:pt>
                <c:pt idx="26">
                  <c:v>44487</c:v>
                </c:pt>
                <c:pt idx="27">
                  <c:v>44434</c:v>
                </c:pt>
                <c:pt idx="28">
                  <c:v>44515</c:v>
                </c:pt>
                <c:pt idx="29">
                  <c:v>54289</c:v>
                </c:pt>
                <c:pt idx="30">
                  <c:v>58555</c:v>
                </c:pt>
                <c:pt idx="31">
                  <c:v>53477</c:v>
                </c:pt>
                <c:pt idx="32">
                  <c:v>50395</c:v>
                </c:pt>
                <c:pt idx="33">
                  <c:v>49662</c:v>
                </c:pt>
                <c:pt idx="34">
                  <c:v>47959</c:v>
                </c:pt>
                <c:pt idx="35">
                  <c:v>47823</c:v>
                </c:pt>
                <c:pt idx="36">
                  <c:v>34048</c:v>
                </c:pt>
                <c:pt idx="37">
                  <c:v>34838</c:v>
                </c:pt>
                <c:pt idx="38">
                  <c:v>40719</c:v>
                </c:pt>
                <c:pt idx="39">
                  <c:v>43431</c:v>
                </c:pt>
                <c:pt idx="40">
                  <c:v>41353</c:v>
                </c:pt>
                <c:pt idx="41">
                  <c:v>48971</c:v>
                </c:pt>
                <c:pt idx="42">
                  <c:v>54040</c:v>
                </c:pt>
                <c:pt idx="43">
                  <c:v>55412</c:v>
                </c:pt>
                <c:pt idx="44">
                  <c:v>54726</c:v>
                </c:pt>
                <c:pt idx="45">
                  <c:v>49349</c:v>
                </c:pt>
                <c:pt idx="46">
                  <c:v>50738</c:v>
                </c:pt>
                <c:pt idx="47">
                  <c:v>53378</c:v>
                </c:pt>
                <c:pt idx="48">
                  <c:v>38991</c:v>
                </c:pt>
                <c:pt idx="49">
                  <c:v>39820</c:v>
                </c:pt>
                <c:pt idx="50">
                  <c:v>54431</c:v>
                </c:pt>
                <c:pt idx="51">
                  <c:v>36927</c:v>
                </c:pt>
                <c:pt idx="52">
                  <c:v>45371</c:v>
                </c:pt>
                <c:pt idx="53">
                  <c:v>50541</c:v>
                </c:pt>
                <c:pt idx="54">
                  <c:v>52615</c:v>
                </c:pt>
                <c:pt idx="55">
                  <c:v>56536</c:v>
                </c:pt>
                <c:pt idx="56">
                  <c:v>47313</c:v>
                </c:pt>
                <c:pt idx="57">
                  <c:v>50666</c:v>
                </c:pt>
                <c:pt idx="58">
                  <c:v>53929</c:v>
                </c:pt>
                <c:pt idx="59">
                  <c:v>47945</c:v>
                </c:pt>
                <c:pt idx="60">
                  <c:v>39477</c:v>
                </c:pt>
                <c:pt idx="61">
                  <c:v>39848</c:v>
                </c:pt>
                <c:pt idx="62">
                  <c:v>46678</c:v>
                </c:pt>
                <c:pt idx="63">
                  <c:v>44490</c:v>
                </c:pt>
                <c:pt idx="64">
                  <c:v>56133</c:v>
                </c:pt>
                <c:pt idx="65">
                  <c:v>56138</c:v>
                </c:pt>
                <c:pt idx="66">
                  <c:v>65271</c:v>
                </c:pt>
                <c:pt idx="67">
                  <c:v>68990</c:v>
                </c:pt>
                <c:pt idx="68">
                  <c:v>62128</c:v>
                </c:pt>
                <c:pt idx="69">
                  <c:v>67650</c:v>
                </c:pt>
                <c:pt idx="70">
                  <c:v>71884</c:v>
                </c:pt>
                <c:pt idx="71">
                  <c:v>68696</c:v>
                </c:pt>
                <c:pt idx="72">
                  <c:v>59568</c:v>
                </c:pt>
                <c:pt idx="73">
                  <c:v>57645</c:v>
                </c:pt>
                <c:pt idx="74">
                  <c:v>59558</c:v>
                </c:pt>
                <c:pt idx="75">
                  <c:v>61570</c:v>
                </c:pt>
                <c:pt idx="76">
                  <c:v>65719</c:v>
                </c:pt>
                <c:pt idx="77">
                  <c:v>68633</c:v>
                </c:pt>
                <c:pt idx="78">
                  <c:v>72812</c:v>
                </c:pt>
                <c:pt idx="79">
                  <c:v>73870</c:v>
                </c:pt>
                <c:pt idx="80">
                  <c:v>67642</c:v>
                </c:pt>
                <c:pt idx="81">
                  <c:v>72234</c:v>
                </c:pt>
                <c:pt idx="82">
                  <c:v>61284</c:v>
                </c:pt>
                <c:pt idx="83">
                  <c:v>65590</c:v>
                </c:pt>
                <c:pt idx="84">
                  <c:v>50914</c:v>
                </c:pt>
                <c:pt idx="85">
                  <c:v>50616</c:v>
                </c:pt>
                <c:pt idx="86">
                  <c:v>57058</c:v>
                </c:pt>
                <c:pt idx="87">
                  <c:v>54602</c:v>
                </c:pt>
                <c:pt idx="88">
                  <c:v>61003</c:v>
                </c:pt>
                <c:pt idx="89">
                  <c:v>71022</c:v>
                </c:pt>
                <c:pt idx="90">
                  <c:v>77860</c:v>
                </c:pt>
                <c:pt idx="91">
                  <c:v>70037</c:v>
                </c:pt>
                <c:pt idx="92">
                  <c:v>70028</c:v>
                </c:pt>
                <c:pt idx="93">
                  <c:v>74213</c:v>
                </c:pt>
                <c:pt idx="94">
                  <c:v>66359</c:v>
                </c:pt>
                <c:pt idx="95">
                  <c:v>66746</c:v>
                </c:pt>
                <c:pt idx="96">
                  <c:v>51950</c:v>
                </c:pt>
                <c:pt idx="97">
                  <c:v>55385</c:v>
                </c:pt>
                <c:pt idx="98">
                  <c:v>107610</c:v>
                </c:pt>
                <c:pt idx="99">
                  <c:v>41972</c:v>
                </c:pt>
                <c:pt idx="100">
                  <c:v>48164</c:v>
                </c:pt>
                <c:pt idx="101">
                  <c:v>60519</c:v>
                </c:pt>
                <c:pt idx="102">
                  <c:v>63760</c:v>
                </c:pt>
                <c:pt idx="103">
                  <c:v>63514</c:v>
                </c:pt>
                <c:pt idx="104">
                  <c:v>60962</c:v>
                </c:pt>
                <c:pt idx="105">
                  <c:v>58015</c:v>
                </c:pt>
                <c:pt idx="106">
                  <c:v>59633</c:v>
                </c:pt>
                <c:pt idx="107">
                  <c:v>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DD-496C-ABE6-F7B095A1365D}"/>
            </c:ext>
          </c:extLst>
        </c:ser>
        <c:ser>
          <c:idx val="1"/>
          <c:order val="1"/>
          <c:tx>
            <c:v>Predicted Number of Houses Sold</c:v>
          </c:tx>
          <c:spPr>
            <a:ln w="19050">
              <a:noFill/>
            </a:ln>
          </c:spPr>
          <c:xVal>
            <c:numRef>
              <c:f>Regression!$D$2:$D$109</c:f>
              <c:numCache>
                <c:formatCode>General</c:formatCode>
                <c:ptCount val="108"/>
                <c:pt idx="0">
                  <c:v>2887</c:v>
                </c:pt>
                <c:pt idx="1">
                  <c:v>2455</c:v>
                </c:pt>
                <c:pt idx="2">
                  <c:v>2585</c:v>
                </c:pt>
                <c:pt idx="3">
                  <c:v>2498</c:v>
                </c:pt>
                <c:pt idx="4">
                  <c:v>2490</c:v>
                </c:pt>
                <c:pt idx="5">
                  <c:v>2448</c:v>
                </c:pt>
                <c:pt idx="6">
                  <c:v>2390</c:v>
                </c:pt>
                <c:pt idx="7">
                  <c:v>2275</c:v>
                </c:pt>
                <c:pt idx="8">
                  <c:v>2206</c:v>
                </c:pt>
                <c:pt idx="9">
                  <c:v>2520</c:v>
                </c:pt>
                <c:pt idx="10">
                  <c:v>2588</c:v>
                </c:pt>
                <c:pt idx="11">
                  <c:v>2285</c:v>
                </c:pt>
                <c:pt idx="12">
                  <c:v>2592</c:v>
                </c:pt>
                <c:pt idx="13">
                  <c:v>2349</c:v>
                </c:pt>
                <c:pt idx="14">
                  <c:v>2612</c:v>
                </c:pt>
                <c:pt idx="15">
                  <c:v>2589</c:v>
                </c:pt>
                <c:pt idx="16">
                  <c:v>2707</c:v>
                </c:pt>
                <c:pt idx="17">
                  <c:v>2497</c:v>
                </c:pt>
                <c:pt idx="18">
                  <c:v>2434</c:v>
                </c:pt>
                <c:pt idx="19">
                  <c:v>2251</c:v>
                </c:pt>
                <c:pt idx="20">
                  <c:v>2288</c:v>
                </c:pt>
                <c:pt idx="21">
                  <c:v>2584</c:v>
                </c:pt>
                <c:pt idx="22">
                  <c:v>2314</c:v>
                </c:pt>
                <c:pt idx="23">
                  <c:v>2351</c:v>
                </c:pt>
                <c:pt idx="24">
                  <c:v>2562</c:v>
                </c:pt>
                <c:pt idx="25">
                  <c:v>2629</c:v>
                </c:pt>
                <c:pt idx="26">
                  <c:v>3176</c:v>
                </c:pt>
                <c:pt idx="27">
                  <c:v>2719</c:v>
                </c:pt>
                <c:pt idx="28">
                  <c:v>3014</c:v>
                </c:pt>
                <c:pt idx="29">
                  <c:v>2701</c:v>
                </c:pt>
                <c:pt idx="30">
                  <c:v>2544</c:v>
                </c:pt>
                <c:pt idx="31">
                  <c:v>2306</c:v>
                </c:pt>
                <c:pt idx="32">
                  <c:v>2520</c:v>
                </c:pt>
                <c:pt idx="33">
                  <c:v>2706</c:v>
                </c:pt>
                <c:pt idx="34">
                  <c:v>2786</c:v>
                </c:pt>
                <c:pt idx="35">
                  <c:v>2678</c:v>
                </c:pt>
                <c:pt idx="36">
                  <c:v>3059</c:v>
                </c:pt>
                <c:pt idx="37">
                  <c:v>2940</c:v>
                </c:pt>
                <c:pt idx="38">
                  <c:v>3102</c:v>
                </c:pt>
                <c:pt idx="39">
                  <c:v>3077</c:v>
                </c:pt>
                <c:pt idx="40">
                  <c:v>3395</c:v>
                </c:pt>
                <c:pt idx="41">
                  <c:v>3124</c:v>
                </c:pt>
                <c:pt idx="42">
                  <c:v>3268</c:v>
                </c:pt>
                <c:pt idx="43">
                  <c:v>2869</c:v>
                </c:pt>
                <c:pt idx="44">
                  <c:v>2654</c:v>
                </c:pt>
                <c:pt idx="45">
                  <c:v>3050</c:v>
                </c:pt>
                <c:pt idx="46">
                  <c:v>3296</c:v>
                </c:pt>
                <c:pt idx="47">
                  <c:v>2845</c:v>
                </c:pt>
                <c:pt idx="48">
                  <c:v>2944</c:v>
                </c:pt>
                <c:pt idx="49">
                  <c:v>2796</c:v>
                </c:pt>
                <c:pt idx="50">
                  <c:v>3330</c:v>
                </c:pt>
                <c:pt idx="51">
                  <c:v>2994</c:v>
                </c:pt>
                <c:pt idx="52">
                  <c:v>3027</c:v>
                </c:pt>
                <c:pt idx="53">
                  <c:v>2992</c:v>
                </c:pt>
                <c:pt idx="54">
                  <c:v>2990</c:v>
                </c:pt>
                <c:pt idx="55">
                  <c:v>2679</c:v>
                </c:pt>
                <c:pt idx="56">
                  <c:v>2700</c:v>
                </c:pt>
                <c:pt idx="57">
                  <c:v>2851</c:v>
                </c:pt>
                <c:pt idx="58">
                  <c:v>3055</c:v>
                </c:pt>
                <c:pt idx="59">
                  <c:v>2902</c:v>
                </c:pt>
                <c:pt idx="60">
                  <c:v>2719</c:v>
                </c:pt>
                <c:pt idx="61">
                  <c:v>2326</c:v>
                </c:pt>
                <c:pt idx="62">
                  <c:v>2606</c:v>
                </c:pt>
                <c:pt idx="63">
                  <c:v>2270</c:v>
                </c:pt>
                <c:pt idx="64">
                  <c:v>2397</c:v>
                </c:pt>
                <c:pt idx="65">
                  <c:v>2394</c:v>
                </c:pt>
                <c:pt idx="66">
                  <c:v>2693</c:v>
                </c:pt>
                <c:pt idx="67">
                  <c:v>2590</c:v>
                </c:pt>
                <c:pt idx="68">
                  <c:v>2460</c:v>
                </c:pt>
                <c:pt idx="69">
                  <c:v>2437</c:v>
                </c:pt>
                <c:pt idx="70">
                  <c:v>2407</c:v>
                </c:pt>
                <c:pt idx="71">
                  <c:v>2038</c:v>
                </c:pt>
                <c:pt idx="72">
                  <c:v>2165</c:v>
                </c:pt>
                <c:pt idx="73">
                  <c:v>1878</c:v>
                </c:pt>
                <c:pt idx="74">
                  <c:v>1877</c:v>
                </c:pt>
                <c:pt idx="75">
                  <c:v>1723</c:v>
                </c:pt>
                <c:pt idx="76">
                  <c:v>1814</c:v>
                </c:pt>
                <c:pt idx="77">
                  <c:v>1842</c:v>
                </c:pt>
                <c:pt idx="78">
                  <c:v>1687</c:v>
                </c:pt>
                <c:pt idx="79">
                  <c:v>1744</c:v>
                </c:pt>
                <c:pt idx="80">
                  <c:v>1743</c:v>
                </c:pt>
                <c:pt idx="81">
                  <c:v>1941</c:v>
                </c:pt>
                <c:pt idx="82">
                  <c:v>1888</c:v>
                </c:pt>
                <c:pt idx="83">
                  <c:v>1848</c:v>
                </c:pt>
                <c:pt idx="84">
                  <c:v>1795</c:v>
                </c:pt>
                <c:pt idx="85">
                  <c:v>1644</c:v>
                </c:pt>
                <c:pt idx="86">
                  <c:v>1862</c:v>
                </c:pt>
                <c:pt idx="87">
                  <c:v>1782</c:v>
                </c:pt>
                <c:pt idx="88">
                  <c:v>1889</c:v>
                </c:pt>
                <c:pt idx="89">
                  <c:v>1711</c:v>
                </c:pt>
                <c:pt idx="90">
                  <c:v>1789</c:v>
                </c:pt>
                <c:pt idx="91">
                  <c:v>1758</c:v>
                </c:pt>
                <c:pt idx="92">
                  <c:v>1721</c:v>
                </c:pt>
                <c:pt idx="93">
                  <c:v>1812</c:v>
                </c:pt>
                <c:pt idx="94">
                  <c:v>1864</c:v>
                </c:pt>
                <c:pt idx="95">
                  <c:v>1756</c:v>
                </c:pt>
                <c:pt idx="96">
                  <c:v>1810</c:v>
                </c:pt>
                <c:pt idx="97">
                  <c:v>1646</c:v>
                </c:pt>
                <c:pt idx="98">
                  <c:v>1711</c:v>
                </c:pt>
                <c:pt idx="99">
                  <c:v>1570</c:v>
                </c:pt>
                <c:pt idx="100">
                  <c:v>1787</c:v>
                </c:pt>
                <c:pt idx="101">
                  <c:v>1885</c:v>
                </c:pt>
                <c:pt idx="102">
                  <c:v>1960</c:v>
                </c:pt>
                <c:pt idx="103">
                  <c:v>1910</c:v>
                </c:pt>
                <c:pt idx="104">
                  <c:v>1980</c:v>
                </c:pt>
                <c:pt idx="105">
                  <c:v>2048</c:v>
                </c:pt>
                <c:pt idx="106">
                  <c:v>1983</c:v>
                </c:pt>
                <c:pt idx="107">
                  <c:v>2238</c:v>
                </c:pt>
              </c:numCache>
            </c:numRef>
          </c:xVal>
          <c:yVal>
            <c:numRef>
              <c:f>Regression!$K$32:$K$139</c:f>
              <c:numCache>
                <c:formatCode>General</c:formatCode>
                <c:ptCount val="108"/>
                <c:pt idx="0">
                  <c:v>35477.16001282035</c:v>
                </c:pt>
                <c:pt idx="1">
                  <c:v>42116.911596510123</c:v>
                </c:pt>
                <c:pt idx="2">
                  <c:v>41812.423084276772</c:v>
                </c:pt>
                <c:pt idx="3">
                  <c:v>41605.272174591126</c:v>
                </c:pt>
                <c:pt idx="4">
                  <c:v>43994.775214472647</c:v>
                </c:pt>
                <c:pt idx="5">
                  <c:v>44914.746079599689</c:v>
                </c:pt>
                <c:pt idx="6">
                  <c:v>48694.356752035077</c:v>
                </c:pt>
                <c:pt idx="7">
                  <c:v>45694.857169238981</c:v>
                </c:pt>
                <c:pt idx="8">
                  <c:v>47040.123737578324</c:v>
                </c:pt>
                <c:pt idx="9">
                  <c:v>47846.670118440357</c:v>
                </c:pt>
                <c:pt idx="10">
                  <c:v>44715.583074626004</c:v>
                </c:pt>
                <c:pt idx="11">
                  <c:v>42070.291159727094</c:v>
                </c:pt>
                <c:pt idx="12">
                  <c:v>39153.457571887026</c:v>
                </c:pt>
                <c:pt idx="13">
                  <c:v>42703.590184658882</c:v>
                </c:pt>
                <c:pt idx="14">
                  <c:v>41494.308848636472</c:v>
                </c:pt>
                <c:pt idx="15">
                  <c:v>39226.195178386195</c:v>
                </c:pt>
                <c:pt idx="16">
                  <c:v>40005.383374220699</c:v>
                </c:pt>
                <c:pt idx="17">
                  <c:v>45239.384917020841</c:v>
                </c:pt>
                <c:pt idx="18">
                  <c:v>47287.112068702278</c:v>
                </c:pt>
                <c:pt idx="19">
                  <c:v>46540.004576840074</c:v>
                </c:pt>
                <c:pt idx="20">
                  <c:v>45509.432257316032</c:v>
                </c:pt>
                <c:pt idx="21">
                  <c:v>46882.747618418674</c:v>
                </c:pt>
                <c:pt idx="22">
                  <c:v>47174.621347339955</c:v>
                </c:pt>
                <c:pt idx="23">
                  <c:v>46516.735850481469</c:v>
                </c:pt>
                <c:pt idx="24">
                  <c:v>44421.536054351476</c:v>
                </c:pt>
                <c:pt idx="25">
                  <c:v>44421.674514053753</c:v>
                </c:pt>
                <c:pt idx="26">
                  <c:v>41635.427266648025</c:v>
                </c:pt>
                <c:pt idx="27">
                  <c:v>44577.390939029356</c:v>
                </c:pt>
                <c:pt idx="28">
                  <c:v>44548.176261002074</c:v>
                </c:pt>
                <c:pt idx="29">
                  <c:v>47763.158328273836</c:v>
                </c:pt>
                <c:pt idx="30">
                  <c:v>51269.851561836083</c:v>
                </c:pt>
                <c:pt idx="31">
                  <c:v>50508.698983940762</c:v>
                </c:pt>
                <c:pt idx="32">
                  <c:v>49928.694634559943</c:v>
                </c:pt>
                <c:pt idx="33">
                  <c:v>48760.763721542564</c:v>
                </c:pt>
                <c:pt idx="34">
                  <c:v>43204.141936078115</c:v>
                </c:pt>
                <c:pt idx="35">
                  <c:v>40858.622942943679</c:v>
                </c:pt>
                <c:pt idx="36">
                  <c:v>39294.447605055117</c:v>
                </c:pt>
                <c:pt idx="37">
                  <c:v>42792.061758825977</c:v>
                </c:pt>
                <c:pt idx="38">
                  <c:v>43961.065412561671</c:v>
                </c:pt>
                <c:pt idx="39">
                  <c:v>42538.885857776011</c:v>
                </c:pt>
                <c:pt idx="40">
                  <c:v>43139.289385410601</c:v>
                </c:pt>
                <c:pt idx="41">
                  <c:v>48170.332397597114</c:v>
                </c:pt>
                <c:pt idx="42">
                  <c:v>46678.401899032593</c:v>
                </c:pt>
                <c:pt idx="43">
                  <c:v>40267.960218861845</c:v>
                </c:pt>
                <c:pt idx="44">
                  <c:v>50054.646194956687</c:v>
                </c:pt>
                <c:pt idx="45">
                  <c:v>49203.587317047059</c:v>
                </c:pt>
                <c:pt idx="46">
                  <c:v>47024.257184190974</c:v>
                </c:pt>
                <c:pt idx="47">
                  <c:v>46091.41064931525</c:v>
                </c:pt>
                <c:pt idx="48">
                  <c:v>47498.047194478742</c:v>
                </c:pt>
                <c:pt idx="49">
                  <c:v>47623.587878839418</c:v>
                </c:pt>
                <c:pt idx="50">
                  <c:v>49857.71059202707</c:v>
                </c:pt>
                <c:pt idx="51">
                  <c:v>48523.502340569001</c:v>
                </c:pt>
                <c:pt idx="52">
                  <c:v>53886.059889583114</c:v>
                </c:pt>
                <c:pt idx="53">
                  <c:v>51731.903041398706</c:v>
                </c:pt>
                <c:pt idx="54">
                  <c:v>55308.94741591093</c:v>
                </c:pt>
                <c:pt idx="55">
                  <c:v>55588.608783906988</c:v>
                </c:pt>
                <c:pt idx="56">
                  <c:v>53561.131633659272</c:v>
                </c:pt>
                <c:pt idx="57">
                  <c:v>54647.082634772218</c:v>
                </c:pt>
                <c:pt idx="58">
                  <c:v>49664.335697537201</c:v>
                </c:pt>
                <c:pt idx="59">
                  <c:v>50733.843925408713</c:v>
                </c:pt>
                <c:pt idx="60">
                  <c:v>51281.504112029113</c:v>
                </c:pt>
                <c:pt idx="61">
                  <c:v>52952.023297101143</c:v>
                </c:pt>
                <c:pt idx="62">
                  <c:v>53902.336013295651</c:v>
                </c:pt>
                <c:pt idx="63">
                  <c:v>54795.063407963353</c:v>
                </c:pt>
                <c:pt idx="64">
                  <c:v>54889.150247862315</c:v>
                </c:pt>
                <c:pt idx="65">
                  <c:v>56267.288463396202</c:v>
                </c:pt>
                <c:pt idx="66">
                  <c:v>57153.706153777253</c:v>
                </c:pt>
                <c:pt idx="67">
                  <c:v>55428.594253818352</c:v>
                </c:pt>
                <c:pt idx="68">
                  <c:v>55279.840729203577</c:v>
                </c:pt>
                <c:pt idx="69">
                  <c:v>58321.997954035221</c:v>
                </c:pt>
                <c:pt idx="70">
                  <c:v>54117.705032935002</c:v>
                </c:pt>
                <c:pt idx="71">
                  <c:v>54292.638336532182</c:v>
                </c:pt>
                <c:pt idx="72">
                  <c:v>53607.557807917736</c:v>
                </c:pt>
                <c:pt idx="73">
                  <c:v>55990.056128404249</c:v>
                </c:pt>
                <c:pt idx="74">
                  <c:v>61428.688974689016</c:v>
                </c:pt>
                <c:pt idx="75">
                  <c:v>61009.350337959288</c:v>
                </c:pt>
                <c:pt idx="76">
                  <c:v>62503.709798071592</c:v>
                </c:pt>
                <c:pt idx="77">
                  <c:v>63771.146733431902</c:v>
                </c:pt>
                <c:pt idx="78">
                  <c:v>65481.27786608148</c:v>
                </c:pt>
                <c:pt idx="79">
                  <c:v>61969.820439055336</c:v>
                </c:pt>
                <c:pt idx="80">
                  <c:v>62956.530522841182</c:v>
                </c:pt>
                <c:pt idx="81">
                  <c:v>61399.496585819739</c:v>
                </c:pt>
                <c:pt idx="82">
                  <c:v>60324.821963278897</c:v>
                </c:pt>
                <c:pt idx="83">
                  <c:v>59703.349108706621</c:v>
                </c:pt>
                <c:pt idx="84">
                  <c:v>61545.9656967068</c:v>
                </c:pt>
                <c:pt idx="85">
                  <c:v>60885.081975868772</c:v>
                </c:pt>
                <c:pt idx="86">
                  <c:v>62718.090664384334</c:v>
                </c:pt>
                <c:pt idx="87">
                  <c:v>62356.531475584037</c:v>
                </c:pt>
                <c:pt idx="88">
                  <c:v>65317.613379103306</c:v>
                </c:pt>
                <c:pt idx="89">
                  <c:v>67922.313067655923</c:v>
                </c:pt>
                <c:pt idx="90">
                  <c:v>66881.035763897613</c:v>
                </c:pt>
                <c:pt idx="91">
                  <c:v>64782.719909563639</c:v>
                </c:pt>
                <c:pt idx="92">
                  <c:v>65636.795977933871</c:v>
                </c:pt>
                <c:pt idx="93">
                  <c:v>66789.153245711481</c:v>
                </c:pt>
                <c:pt idx="94">
                  <c:v>63450.938535241694</c:v>
                </c:pt>
                <c:pt idx="95">
                  <c:v>63685.701699664656</c:v>
                </c:pt>
                <c:pt idx="96">
                  <c:v>62397.009321874866</c:v>
                </c:pt>
                <c:pt idx="97">
                  <c:v>63420.850171684113</c:v>
                </c:pt>
                <c:pt idx="98">
                  <c:v>65516.008069766285</c:v>
                </c:pt>
                <c:pt idx="99">
                  <c:v>67306.49383915207</c:v>
                </c:pt>
                <c:pt idx="100">
                  <c:v>67887.495910557394</c:v>
                </c:pt>
                <c:pt idx="101">
                  <c:v>67850.043150706479</c:v>
                </c:pt>
                <c:pt idx="102">
                  <c:v>69070.422520674547</c:v>
                </c:pt>
                <c:pt idx="103">
                  <c:v>67150.550612981373</c:v>
                </c:pt>
                <c:pt idx="104">
                  <c:v>67211.651351849432</c:v>
                </c:pt>
                <c:pt idx="105">
                  <c:v>67495.686828975216</c:v>
                </c:pt>
                <c:pt idx="106">
                  <c:v>65023.873212856488</c:v>
                </c:pt>
                <c:pt idx="107">
                  <c:v>61413.931328591527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DD-496C-ABE6-F7B095A13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667568"/>
        <c:axId val="814664240"/>
      </c:scatterChart>
      <c:valAx>
        <c:axId val="814667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Robbery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4664240"/>
        <c:crosses val="autoZero"/>
        <c:crossBetween val="midCat"/>
      </c:valAx>
      <c:valAx>
        <c:axId val="814664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Number of Houses Sold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46675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Drugs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Number of Houses Sold</c:v>
          </c:tx>
          <c:spPr>
            <a:ln w="19050">
              <a:noFill/>
            </a:ln>
          </c:spPr>
          <c:xVal>
            <c:numRef>
              <c:f>Regression!$E$2:$E$109</c:f>
              <c:numCache>
                <c:formatCode>General</c:formatCode>
                <c:ptCount val="108"/>
                <c:pt idx="0">
                  <c:v>5230</c:v>
                </c:pt>
                <c:pt idx="1">
                  <c:v>6071</c:v>
                </c:pt>
                <c:pt idx="2">
                  <c:v>5769</c:v>
                </c:pt>
                <c:pt idx="3">
                  <c:v>5158</c:v>
                </c:pt>
                <c:pt idx="4">
                  <c:v>5868</c:v>
                </c:pt>
                <c:pt idx="5">
                  <c:v>5366</c:v>
                </c:pt>
                <c:pt idx="6">
                  <c:v>6062</c:v>
                </c:pt>
                <c:pt idx="7">
                  <c:v>5971</c:v>
                </c:pt>
                <c:pt idx="8">
                  <c:v>5815</c:v>
                </c:pt>
                <c:pt idx="9">
                  <c:v>6334</c:v>
                </c:pt>
                <c:pt idx="10">
                  <c:v>6034</c:v>
                </c:pt>
                <c:pt idx="11">
                  <c:v>5126</c:v>
                </c:pt>
                <c:pt idx="12">
                  <c:v>5287</c:v>
                </c:pt>
                <c:pt idx="13">
                  <c:v>5016</c:v>
                </c:pt>
                <c:pt idx="14">
                  <c:v>5718</c:v>
                </c:pt>
                <c:pt idx="15">
                  <c:v>4033</c:v>
                </c:pt>
                <c:pt idx="16">
                  <c:v>4462</c:v>
                </c:pt>
                <c:pt idx="17">
                  <c:v>5239</c:v>
                </c:pt>
                <c:pt idx="18">
                  <c:v>5765</c:v>
                </c:pt>
                <c:pt idx="19">
                  <c:v>5025</c:v>
                </c:pt>
                <c:pt idx="20">
                  <c:v>4758</c:v>
                </c:pt>
                <c:pt idx="21">
                  <c:v>5630</c:v>
                </c:pt>
                <c:pt idx="22">
                  <c:v>5329</c:v>
                </c:pt>
                <c:pt idx="23">
                  <c:v>4287</c:v>
                </c:pt>
                <c:pt idx="24">
                  <c:v>5056</c:v>
                </c:pt>
                <c:pt idx="25">
                  <c:v>5005</c:v>
                </c:pt>
                <c:pt idx="26">
                  <c:v>5134</c:v>
                </c:pt>
                <c:pt idx="27">
                  <c:v>4644</c:v>
                </c:pt>
                <c:pt idx="28">
                  <c:v>4803</c:v>
                </c:pt>
                <c:pt idx="29">
                  <c:v>4674</c:v>
                </c:pt>
                <c:pt idx="30">
                  <c:v>5432</c:v>
                </c:pt>
                <c:pt idx="31">
                  <c:v>5796</c:v>
                </c:pt>
                <c:pt idx="32">
                  <c:v>4924</c:v>
                </c:pt>
                <c:pt idx="33">
                  <c:v>5267</c:v>
                </c:pt>
                <c:pt idx="34">
                  <c:v>4659</c:v>
                </c:pt>
                <c:pt idx="35">
                  <c:v>3280</c:v>
                </c:pt>
                <c:pt idx="36">
                  <c:v>4624</c:v>
                </c:pt>
                <c:pt idx="37">
                  <c:v>4538</c:v>
                </c:pt>
                <c:pt idx="38">
                  <c:v>5007</c:v>
                </c:pt>
                <c:pt idx="39">
                  <c:v>4121</c:v>
                </c:pt>
                <c:pt idx="40">
                  <c:v>4734</c:v>
                </c:pt>
                <c:pt idx="41">
                  <c:v>5032</c:v>
                </c:pt>
                <c:pt idx="42">
                  <c:v>5703</c:v>
                </c:pt>
                <c:pt idx="43">
                  <c:v>4927</c:v>
                </c:pt>
                <c:pt idx="44">
                  <c:v>4728</c:v>
                </c:pt>
                <c:pt idx="45">
                  <c:v>4957</c:v>
                </c:pt>
                <c:pt idx="46">
                  <c:v>5007</c:v>
                </c:pt>
                <c:pt idx="47">
                  <c:v>4172</c:v>
                </c:pt>
                <c:pt idx="48">
                  <c:v>5068</c:v>
                </c:pt>
                <c:pt idx="49">
                  <c:v>4309</c:v>
                </c:pt>
                <c:pt idx="50">
                  <c:v>4769</c:v>
                </c:pt>
                <c:pt idx="51">
                  <c:v>3765</c:v>
                </c:pt>
                <c:pt idx="52">
                  <c:v>3959</c:v>
                </c:pt>
                <c:pt idx="53">
                  <c:v>4378</c:v>
                </c:pt>
                <c:pt idx="54">
                  <c:v>4575</c:v>
                </c:pt>
                <c:pt idx="55">
                  <c:v>4935</c:v>
                </c:pt>
                <c:pt idx="56">
                  <c:v>4144</c:v>
                </c:pt>
                <c:pt idx="57">
                  <c:v>3985</c:v>
                </c:pt>
                <c:pt idx="58">
                  <c:v>4122</c:v>
                </c:pt>
                <c:pt idx="59">
                  <c:v>3767</c:v>
                </c:pt>
                <c:pt idx="60">
                  <c:v>4436</c:v>
                </c:pt>
                <c:pt idx="61">
                  <c:v>4044</c:v>
                </c:pt>
                <c:pt idx="62">
                  <c:v>4425</c:v>
                </c:pt>
                <c:pt idx="63">
                  <c:v>3973</c:v>
                </c:pt>
                <c:pt idx="64">
                  <c:v>4254</c:v>
                </c:pt>
                <c:pt idx="65">
                  <c:v>3959</c:v>
                </c:pt>
                <c:pt idx="66">
                  <c:v>4379</c:v>
                </c:pt>
                <c:pt idx="67">
                  <c:v>4313</c:v>
                </c:pt>
                <c:pt idx="68">
                  <c:v>3779</c:v>
                </c:pt>
                <c:pt idx="69">
                  <c:v>4525</c:v>
                </c:pt>
                <c:pt idx="70">
                  <c:v>4575</c:v>
                </c:pt>
                <c:pt idx="71">
                  <c:v>3616</c:v>
                </c:pt>
                <c:pt idx="72">
                  <c:v>4020</c:v>
                </c:pt>
                <c:pt idx="73">
                  <c:v>3644</c:v>
                </c:pt>
                <c:pt idx="74">
                  <c:v>4338</c:v>
                </c:pt>
                <c:pt idx="75">
                  <c:v>3871</c:v>
                </c:pt>
                <c:pt idx="76">
                  <c:v>3928</c:v>
                </c:pt>
                <c:pt idx="77">
                  <c:v>3763</c:v>
                </c:pt>
                <c:pt idx="78">
                  <c:v>3663</c:v>
                </c:pt>
                <c:pt idx="79">
                  <c:v>3569</c:v>
                </c:pt>
                <c:pt idx="80">
                  <c:v>3177</c:v>
                </c:pt>
                <c:pt idx="81">
                  <c:v>3671</c:v>
                </c:pt>
                <c:pt idx="82">
                  <c:v>3674</c:v>
                </c:pt>
                <c:pt idx="83">
                  <c:v>3117</c:v>
                </c:pt>
                <c:pt idx="84">
                  <c:v>3690</c:v>
                </c:pt>
                <c:pt idx="85">
                  <c:v>3302</c:v>
                </c:pt>
                <c:pt idx="86">
                  <c:v>3237</c:v>
                </c:pt>
                <c:pt idx="87">
                  <c:v>3057</c:v>
                </c:pt>
                <c:pt idx="88">
                  <c:v>3082</c:v>
                </c:pt>
                <c:pt idx="89">
                  <c:v>3248</c:v>
                </c:pt>
                <c:pt idx="90">
                  <c:v>3467</c:v>
                </c:pt>
                <c:pt idx="91">
                  <c:v>3451</c:v>
                </c:pt>
                <c:pt idx="92">
                  <c:v>3363</c:v>
                </c:pt>
                <c:pt idx="93">
                  <c:v>3618</c:v>
                </c:pt>
                <c:pt idx="94">
                  <c:v>3231</c:v>
                </c:pt>
                <c:pt idx="95">
                  <c:v>3039</c:v>
                </c:pt>
                <c:pt idx="96">
                  <c:v>3828</c:v>
                </c:pt>
                <c:pt idx="97">
                  <c:v>3397</c:v>
                </c:pt>
                <c:pt idx="98">
                  <c:v>3324</c:v>
                </c:pt>
                <c:pt idx="99">
                  <c:v>3389</c:v>
                </c:pt>
                <c:pt idx="100">
                  <c:v>3276</c:v>
                </c:pt>
                <c:pt idx="101">
                  <c:v>3041</c:v>
                </c:pt>
                <c:pt idx="102">
                  <c:v>3372</c:v>
                </c:pt>
                <c:pt idx="103">
                  <c:v>3442</c:v>
                </c:pt>
                <c:pt idx="104">
                  <c:v>3091</c:v>
                </c:pt>
                <c:pt idx="105">
                  <c:v>3204</c:v>
                </c:pt>
                <c:pt idx="106">
                  <c:v>2894</c:v>
                </c:pt>
                <c:pt idx="107">
                  <c:v>2656</c:v>
                </c:pt>
              </c:numCache>
            </c:numRef>
          </c:xVal>
          <c:yVal>
            <c:numRef>
              <c:f>Regression!$H$2:$H$109</c:f>
              <c:numCache>
                <c:formatCode>General</c:formatCode>
                <c:ptCount val="108"/>
                <c:pt idx="0">
                  <c:v>51461</c:v>
                </c:pt>
                <c:pt idx="1">
                  <c:v>53832</c:v>
                </c:pt>
                <c:pt idx="2">
                  <c:v>50014</c:v>
                </c:pt>
                <c:pt idx="3">
                  <c:v>52480</c:v>
                </c:pt>
                <c:pt idx="4">
                  <c:v>53707</c:v>
                </c:pt>
                <c:pt idx="5">
                  <c:v>48965</c:v>
                </c:pt>
                <c:pt idx="6">
                  <c:v>44580</c:v>
                </c:pt>
                <c:pt idx="7">
                  <c:v>40160</c:v>
                </c:pt>
                <c:pt idx="8">
                  <c:v>34534</c:v>
                </c:pt>
                <c:pt idx="9">
                  <c:v>35822</c:v>
                </c:pt>
                <c:pt idx="10">
                  <c:v>28740</c:v>
                </c:pt>
                <c:pt idx="11">
                  <c:v>31851</c:v>
                </c:pt>
                <c:pt idx="12">
                  <c:v>22242</c:v>
                </c:pt>
                <c:pt idx="13">
                  <c:v>22378</c:v>
                </c:pt>
                <c:pt idx="14">
                  <c:v>28958</c:v>
                </c:pt>
                <c:pt idx="15">
                  <c:v>31111</c:v>
                </c:pt>
                <c:pt idx="16">
                  <c:v>36274</c:v>
                </c:pt>
                <c:pt idx="17">
                  <c:v>42760</c:v>
                </c:pt>
                <c:pt idx="18">
                  <c:v>52545</c:v>
                </c:pt>
                <c:pt idx="19">
                  <c:v>49219</c:v>
                </c:pt>
                <c:pt idx="20">
                  <c:v>50318</c:v>
                </c:pt>
                <c:pt idx="21">
                  <c:v>54953</c:v>
                </c:pt>
                <c:pt idx="22">
                  <c:v>51675</c:v>
                </c:pt>
                <c:pt idx="23">
                  <c:v>64459</c:v>
                </c:pt>
                <c:pt idx="24">
                  <c:v>34067</c:v>
                </c:pt>
                <c:pt idx="25">
                  <c:v>38023</c:v>
                </c:pt>
                <c:pt idx="26">
                  <c:v>44487</c:v>
                </c:pt>
                <c:pt idx="27">
                  <c:v>44434</c:v>
                </c:pt>
                <c:pt idx="28">
                  <c:v>44515</c:v>
                </c:pt>
                <c:pt idx="29">
                  <c:v>54289</c:v>
                </c:pt>
                <c:pt idx="30">
                  <c:v>58555</c:v>
                </c:pt>
                <c:pt idx="31">
                  <c:v>53477</c:v>
                </c:pt>
                <c:pt idx="32">
                  <c:v>50395</c:v>
                </c:pt>
                <c:pt idx="33">
                  <c:v>49662</c:v>
                </c:pt>
                <c:pt idx="34">
                  <c:v>47959</c:v>
                </c:pt>
                <c:pt idx="35">
                  <c:v>47823</c:v>
                </c:pt>
                <c:pt idx="36">
                  <c:v>34048</c:v>
                </c:pt>
                <c:pt idx="37">
                  <c:v>34838</c:v>
                </c:pt>
                <c:pt idx="38">
                  <c:v>40719</c:v>
                </c:pt>
                <c:pt idx="39">
                  <c:v>43431</c:v>
                </c:pt>
                <c:pt idx="40">
                  <c:v>41353</c:v>
                </c:pt>
                <c:pt idx="41">
                  <c:v>48971</c:v>
                </c:pt>
                <c:pt idx="42">
                  <c:v>54040</c:v>
                </c:pt>
                <c:pt idx="43">
                  <c:v>55412</c:v>
                </c:pt>
                <c:pt idx="44">
                  <c:v>54726</c:v>
                </c:pt>
                <c:pt idx="45">
                  <c:v>49349</c:v>
                </c:pt>
                <c:pt idx="46">
                  <c:v>50738</c:v>
                </c:pt>
                <c:pt idx="47">
                  <c:v>53378</c:v>
                </c:pt>
                <c:pt idx="48">
                  <c:v>38991</c:v>
                </c:pt>
                <c:pt idx="49">
                  <c:v>39820</c:v>
                </c:pt>
                <c:pt idx="50">
                  <c:v>54431</c:v>
                </c:pt>
                <c:pt idx="51">
                  <c:v>36927</c:v>
                </c:pt>
                <c:pt idx="52">
                  <c:v>45371</c:v>
                </c:pt>
                <c:pt idx="53">
                  <c:v>50541</c:v>
                </c:pt>
                <c:pt idx="54">
                  <c:v>52615</c:v>
                </c:pt>
                <c:pt idx="55">
                  <c:v>56536</c:v>
                </c:pt>
                <c:pt idx="56">
                  <c:v>47313</c:v>
                </c:pt>
                <c:pt idx="57">
                  <c:v>50666</c:v>
                </c:pt>
                <c:pt idx="58">
                  <c:v>53929</c:v>
                </c:pt>
                <c:pt idx="59">
                  <c:v>47945</c:v>
                </c:pt>
                <c:pt idx="60">
                  <c:v>39477</c:v>
                </c:pt>
                <c:pt idx="61">
                  <c:v>39848</c:v>
                </c:pt>
                <c:pt idx="62">
                  <c:v>46678</c:v>
                </c:pt>
                <c:pt idx="63">
                  <c:v>44490</c:v>
                </c:pt>
                <c:pt idx="64">
                  <c:v>56133</c:v>
                </c:pt>
                <c:pt idx="65">
                  <c:v>56138</c:v>
                </c:pt>
                <c:pt idx="66">
                  <c:v>65271</c:v>
                </c:pt>
                <c:pt idx="67">
                  <c:v>68990</c:v>
                </c:pt>
                <c:pt idx="68">
                  <c:v>62128</c:v>
                </c:pt>
                <c:pt idx="69">
                  <c:v>67650</c:v>
                </c:pt>
                <c:pt idx="70">
                  <c:v>71884</c:v>
                </c:pt>
                <c:pt idx="71">
                  <c:v>68696</c:v>
                </c:pt>
                <c:pt idx="72">
                  <c:v>59568</c:v>
                </c:pt>
                <c:pt idx="73">
                  <c:v>57645</c:v>
                </c:pt>
                <c:pt idx="74">
                  <c:v>59558</c:v>
                </c:pt>
                <c:pt idx="75">
                  <c:v>61570</c:v>
                </c:pt>
                <c:pt idx="76">
                  <c:v>65719</c:v>
                </c:pt>
                <c:pt idx="77">
                  <c:v>68633</c:v>
                </c:pt>
                <c:pt idx="78">
                  <c:v>72812</c:v>
                </c:pt>
                <c:pt idx="79">
                  <c:v>73870</c:v>
                </c:pt>
                <c:pt idx="80">
                  <c:v>67642</c:v>
                </c:pt>
                <c:pt idx="81">
                  <c:v>72234</c:v>
                </c:pt>
                <c:pt idx="82">
                  <c:v>61284</c:v>
                </c:pt>
                <c:pt idx="83">
                  <c:v>65590</c:v>
                </c:pt>
                <c:pt idx="84">
                  <c:v>50914</c:v>
                </c:pt>
                <c:pt idx="85">
                  <c:v>50616</c:v>
                </c:pt>
                <c:pt idx="86">
                  <c:v>57058</c:v>
                </c:pt>
                <c:pt idx="87">
                  <c:v>54602</c:v>
                </c:pt>
                <c:pt idx="88">
                  <c:v>61003</c:v>
                </c:pt>
                <c:pt idx="89">
                  <c:v>71022</c:v>
                </c:pt>
                <c:pt idx="90">
                  <c:v>77860</c:v>
                </c:pt>
                <c:pt idx="91">
                  <c:v>70037</c:v>
                </c:pt>
                <c:pt idx="92">
                  <c:v>70028</c:v>
                </c:pt>
                <c:pt idx="93">
                  <c:v>74213</c:v>
                </c:pt>
                <c:pt idx="94">
                  <c:v>66359</c:v>
                </c:pt>
                <c:pt idx="95">
                  <c:v>66746</c:v>
                </c:pt>
                <c:pt idx="96">
                  <c:v>51950</c:v>
                </c:pt>
                <c:pt idx="97">
                  <c:v>55385</c:v>
                </c:pt>
                <c:pt idx="98">
                  <c:v>107610</c:v>
                </c:pt>
                <c:pt idx="99">
                  <c:v>41972</c:v>
                </c:pt>
                <c:pt idx="100">
                  <c:v>48164</c:v>
                </c:pt>
                <c:pt idx="101">
                  <c:v>60519</c:v>
                </c:pt>
                <c:pt idx="102">
                  <c:v>63760</c:v>
                </c:pt>
                <c:pt idx="103">
                  <c:v>63514</c:v>
                </c:pt>
                <c:pt idx="104">
                  <c:v>60962</c:v>
                </c:pt>
                <c:pt idx="105">
                  <c:v>58015</c:v>
                </c:pt>
                <c:pt idx="106">
                  <c:v>59633</c:v>
                </c:pt>
                <c:pt idx="107">
                  <c:v>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5B-4167-9ECF-20D134C554E1}"/>
            </c:ext>
          </c:extLst>
        </c:ser>
        <c:ser>
          <c:idx val="1"/>
          <c:order val="1"/>
          <c:tx>
            <c:v>Predicted Number of Houses Sold</c:v>
          </c:tx>
          <c:spPr>
            <a:ln w="19050">
              <a:noFill/>
            </a:ln>
          </c:spPr>
          <c:xVal>
            <c:numRef>
              <c:f>Regression!$E$2:$E$109</c:f>
              <c:numCache>
                <c:formatCode>General</c:formatCode>
                <c:ptCount val="108"/>
                <c:pt idx="0">
                  <c:v>5230</c:v>
                </c:pt>
                <c:pt idx="1">
                  <c:v>6071</c:v>
                </c:pt>
                <c:pt idx="2">
                  <c:v>5769</c:v>
                </c:pt>
                <c:pt idx="3">
                  <c:v>5158</c:v>
                </c:pt>
                <c:pt idx="4">
                  <c:v>5868</c:v>
                </c:pt>
                <c:pt idx="5">
                  <c:v>5366</c:v>
                </c:pt>
                <c:pt idx="6">
                  <c:v>6062</c:v>
                </c:pt>
                <c:pt idx="7">
                  <c:v>5971</c:v>
                </c:pt>
                <c:pt idx="8">
                  <c:v>5815</c:v>
                </c:pt>
                <c:pt idx="9">
                  <c:v>6334</c:v>
                </c:pt>
                <c:pt idx="10">
                  <c:v>6034</c:v>
                </c:pt>
                <c:pt idx="11">
                  <c:v>5126</c:v>
                </c:pt>
                <c:pt idx="12">
                  <c:v>5287</c:v>
                </c:pt>
                <c:pt idx="13">
                  <c:v>5016</c:v>
                </c:pt>
                <c:pt idx="14">
                  <c:v>5718</c:v>
                </c:pt>
                <c:pt idx="15">
                  <c:v>4033</c:v>
                </c:pt>
                <c:pt idx="16">
                  <c:v>4462</c:v>
                </c:pt>
                <c:pt idx="17">
                  <c:v>5239</c:v>
                </c:pt>
                <c:pt idx="18">
                  <c:v>5765</c:v>
                </c:pt>
                <c:pt idx="19">
                  <c:v>5025</c:v>
                </c:pt>
                <c:pt idx="20">
                  <c:v>4758</c:v>
                </c:pt>
                <c:pt idx="21">
                  <c:v>5630</c:v>
                </c:pt>
                <c:pt idx="22">
                  <c:v>5329</c:v>
                </c:pt>
                <c:pt idx="23">
                  <c:v>4287</c:v>
                </c:pt>
                <c:pt idx="24">
                  <c:v>5056</c:v>
                </c:pt>
                <c:pt idx="25">
                  <c:v>5005</c:v>
                </c:pt>
                <c:pt idx="26">
                  <c:v>5134</c:v>
                </c:pt>
                <c:pt idx="27">
                  <c:v>4644</c:v>
                </c:pt>
                <c:pt idx="28">
                  <c:v>4803</c:v>
                </c:pt>
                <c:pt idx="29">
                  <c:v>4674</c:v>
                </c:pt>
                <c:pt idx="30">
                  <c:v>5432</c:v>
                </c:pt>
                <c:pt idx="31">
                  <c:v>5796</c:v>
                </c:pt>
                <c:pt idx="32">
                  <c:v>4924</c:v>
                </c:pt>
                <c:pt idx="33">
                  <c:v>5267</c:v>
                </c:pt>
                <c:pt idx="34">
                  <c:v>4659</c:v>
                </c:pt>
                <c:pt idx="35">
                  <c:v>3280</c:v>
                </c:pt>
                <c:pt idx="36">
                  <c:v>4624</c:v>
                </c:pt>
                <c:pt idx="37">
                  <c:v>4538</c:v>
                </c:pt>
                <c:pt idx="38">
                  <c:v>5007</c:v>
                </c:pt>
                <c:pt idx="39">
                  <c:v>4121</c:v>
                </c:pt>
                <c:pt idx="40">
                  <c:v>4734</c:v>
                </c:pt>
                <c:pt idx="41">
                  <c:v>5032</c:v>
                </c:pt>
                <c:pt idx="42">
                  <c:v>5703</c:v>
                </c:pt>
                <c:pt idx="43">
                  <c:v>4927</c:v>
                </c:pt>
                <c:pt idx="44">
                  <c:v>4728</c:v>
                </c:pt>
                <c:pt idx="45">
                  <c:v>4957</c:v>
                </c:pt>
                <c:pt idx="46">
                  <c:v>5007</c:v>
                </c:pt>
                <c:pt idx="47">
                  <c:v>4172</c:v>
                </c:pt>
                <c:pt idx="48">
                  <c:v>5068</c:v>
                </c:pt>
                <c:pt idx="49">
                  <c:v>4309</c:v>
                </c:pt>
                <c:pt idx="50">
                  <c:v>4769</c:v>
                </c:pt>
                <c:pt idx="51">
                  <c:v>3765</c:v>
                </c:pt>
                <c:pt idx="52">
                  <c:v>3959</c:v>
                </c:pt>
                <c:pt idx="53">
                  <c:v>4378</c:v>
                </c:pt>
                <c:pt idx="54">
                  <c:v>4575</c:v>
                </c:pt>
                <c:pt idx="55">
                  <c:v>4935</c:v>
                </c:pt>
                <c:pt idx="56">
                  <c:v>4144</c:v>
                </c:pt>
                <c:pt idx="57">
                  <c:v>3985</c:v>
                </c:pt>
                <c:pt idx="58">
                  <c:v>4122</c:v>
                </c:pt>
                <c:pt idx="59">
                  <c:v>3767</c:v>
                </c:pt>
                <c:pt idx="60">
                  <c:v>4436</c:v>
                </c:pt>
                <c:pt idx="61">
                  <c:v>4044</c:v>
                </c:pt>
                <c:pt idx="62">
                  <c:v>4425</c:v>
                </c:pt>
                <c:pt idx="63">
                  <c:v>3973</c:v>
                </c:pt>
                <c:pt idx="64">
                  <c:v>4254</c:v>
                </c:pt>
                <c:pt idx="65">
                  <c:v>3959</c:v>
                </c:pt>
                <c:pt idx="66">
                  <c:v>4379</c:v>
                </c:pt>
                <c:pt idx="67">
                  <c:v>4313</c:v>
                </c:pt>
                <c:pt idx="68">
                  <c:v>3779</c:v>
                </c:pt>
                <c:pt idx="69">
                  <c:v>4525</c:v>
                </c:pt>
                <c:pt idx="70">
                  <c:v>4575</c:v>
                </c:pt>
                <c:pt idx="71">
                  <c:v>3616</c:v>
                </c:pt>
                <c:pt idx="72">
                  <c:v>4020</c:v>
                </c:pt>
                <c:pt idx="73">
                  <c:v>3644</c:v>
                </c:pt>
                <c:pt idx="74">
                  <c:v>4338</c:v>
                </c:pt>
                <c:pt idx="75">
                  <c:v>3871</c:v>
                </c:pt>
                <c:pt idx="76">
                  <c:v>3928</c:v>
                </c:pt>
                <c:pt idx="77">
                  <c:v>3763</c:v>
                </c:pt>
                <c:pt idx="78">
                  <c:v>3663</c:v>
                </c:pt>
                <c:pt idx="79">
                  <c:v>3569</c:v>
                </c:pt>
                <c:pt idx="80">
                  <c:v>3177</c:v>
                </c:pt>
                <c:pt idx="81">
                  <c:v>3671</c:v>
                </c:pt>
                <c:pt idx="82">
                  <c:v>3674</c:v>
                </c:pt>
                <c:pt idx="83">
                  <c:v>3117</c:v>
                </c:pt>
                <c:pt idx="84">
                  <c:v>3690</c:v>
                </c:pt>
                <c:pt idx="85">
                  <c:v>3302</c:v>
                </c:pt>
                <c:pt idx="86">
                  <c:v>3237</c:v>
                </c:pt>
                <c:pt idx="87">
                  <c:v>3057</c:v>
                </c:pt>
                <c:pt idx="88">
                  <c:v>3082</c:v>
                </c:pt>
                <c:pt idx="89">
                  <c:v>3248</c:v>
                </c:pt>
                <c:pt idx="90">
                  <c:v>3467</c:v>
                </c:pt>
                <c:pt idx="91">
                  <c:v>3451</c:v>
                </c:pt>
                <c:pt idx="92">
                  <c:v>3363</c:v>
                </c:pt>
                <c:pt idx="93">
                  <c:v>3618</c:v>
                </c:pt>
                <c:pt idx="94">
                  <c:v>3231</c:v>
                </c:pt>
                <c:pt idx="95">
                  <c:v>3039</c:v>
                </c:pt>
                <c:pt idx="96">
                  <c:v>3828</c:v>
                </c:pt>
                <c:pt idx="97">
                  <c:v>3397</c:v>
                </c:pt>
                <c:pt idx="98">
                  <c:v>3324</c:v>
                </c:pt>
                <c:pt idx="99">
                  <c:v>3389</c:v>
                </c:pt>
                <c:pt idx="100">
                  <c:v>3276</c:v>
                </c:pt>
                <c:pt idx="101">
                  <c:v>3041</c:v>
                </c:pt>
                <c:pt idx="102">
                  <c:v>3372</c:v>
                </c:pt>
                <c:pt idx="103">
                  <c:v>3442</c:v>
                </c:pt>
                <c:pt idx="104">
                  <c:v>3091</c:v>
                </c:pt>
                <c:pt idx="105">
                  <c:v>3204</c:v>
                </c:pt>
                <c:pt idx="106">
                  <c:v>2894</c:v>
                </c:pt>
                <c:pt idx="107">
                  <c:v>2656</c:v>
                </c:pt>
              </c:numCache>
            </c:numRef>
          </c:xVal>
          <c:yVal>
            <c:numRef>
              <c:f>Regression!$K$32:$K$139</c:f>
              <c:numCache>
                <c:formatCode>General</c:formatCode>
                <c:ptCount val="108"/>
                <c:pt idx="0">
                  <c:v>35477.16001282035</c:v>
                </c:pt>
                <c:pt idx="1">
                  <c:v>42116.911596510123</c:v>
                </c:pt>
                <c:pt idx="2">
                  <c:v>41812.423084276772</c:v>
                </c:pt>
                <c:pt idx="3">
                  <c:v>41605.272174591126</c:v>
                </c:pt>
                <c:pt idx="4">
                  <c:v>43994.775214472647</c:v>
                </c:pt>
                <c:pt idx="5">
                  <c:v>44914.746079599689</c:v>
                </c:pt>
                <c:pt idx="6">
                  <c:v>48694.356752035077</c:v>
                </c:pt>
                <c:pt idx="7">
                  <c:v>45694.857169238981</c:v>
                </c:pt>
                <c:pt idx="8">
                  <c:v>47040.123737578324</c:v>
                </c:pt>
                <c:pt idx="9">
                  <c:v>47846.670118440357</c:v>
                </c:pt>
                <c:pt idx="10">
                  <c:v>44715.583074626004</c:v>
                </c:pt>
                <c:pt idx="11">
                  <c:v>42070.291159727094</c:v>
                </c:pt>
                <c:pt idx="12">
                  <c:v>39153.457571887026</c:v>
                </c:pt>
                <c:pt idx="13">
                  <c:v>42703.590184658882</c:v>
                </c:pt>
                <c:pt idx="14">
                  <c:v>41494.308848636472</c:v>
                </c:pt>
                <c:pt idx="15">
                  <c:v>39226.195178386195</c:v>
                </c:pt>
                <c:pt idx="16">
                  <c:v>40005.383374220699</c:v>
                </c:pt>
                <c:pt idx="17">
                  <c:v>45239.384917020841</c:v>
                </c:pt>
                <c:pt idx="18">
                  <c:v>47287.112068702278</c:v>
                </c:pt>
                <c:pt idx="19">
                  <c:v>46540.004576840074</c:v>
                </c:pt>
                <c:pt idx="20">
                  <c:v>45509.432257316032</c:v>
                </c:pt>
                <c:pt idx="21">
                  <c:v>46882.747618418674</c:v>
                </c:pt>
                <c:pt idx="22">
                  <c:v>47174.621347339955</c:v>
                </c:pt>
                <c:pt idx="23">
                  <c:v>46516.735850481469</c:v>
                </c:pt>
                <c:pt idx="24">
                  <c:v>44421.536054351476</c:v>
                </c:pt>
                <c:pt idx="25">
                  <c:v>44421.674514053753</c:v>
                </c:pt>
                <c:pt idx="26">
                  <c:v>41635.427266648025</c:v>
                </c:pt>
                <c:pt idx="27">
                  <c:v>44577.390939029356</c:v>
                </c:pt>
                <c:pt idx="28">
                  <c:v>44548.176261002074</c:v>
                </c:pt>
                <c:pt idx="29">
                  <c:v>47763.158328273836</c:v>
                </c:pt>
                <c:pt idx="30">
                  <c:v>51269.851561836083</c:v>
                </c:pt>
                <c:pt idx="31">
                  <c:v>50508.698983940762</c:v>
                </c:pt>
                <c:pt idx="32">
                  <c:v>49928.694634559943</c:v>
                </c:pt>
                <c:pt idx="33">
                  <c:v>48760.763721542564</c:v>
                </c:pt>
                <c:pt idx="34">
                  <c:v>43204.141936078115</c:v>
                </c:pt>
                <c:pt idx="35">
                  <c:v>40858.622942943679</c:v>
                </c:pt>
                <c:pt idx="36">
                  <c:v>39294.447605055117</c:v>
                </c:pt>
                <c:pt idx="37">
                  <c:v>42792.061758825977</c:v>
                </c:pt>
                <c:pt idx="38">
                  <c:v>43961.065412561671</c:v>
                </c:pt>
                <c:pt idx="39">
                  <c:v>42538.885857776011</c:v>
                </c:pt>
                <c:pt idx="40">
                  <c:v>43139.289385410601</c:v>
                </c:pt>
                <c:pt idx="41">
                  <c:v>48170.332397597114</c:v>
                </c:pt>
                <c:pt idx="42">
                  <c:v>46678.401899032593</c:v>
                </c:pt>
                <c:pt idx="43">
                  <c:v>40267.960218861845</c:v>
                </c:pt>
                <c:pt idx="44">
                  <c:v>50054.646194956687</c:v>
                </c:pt>
                <c:pt idx="45">
                  <c:v>49203.587317047059</c:v>
                </c:pt>
                <c:pt idx="46">
                  <c:v>47024.257184190974</c:v>
                </c:pt>
                <c:pt idx="47">
                  <c:v>46091.41064931525</c:v>
                </c:pt>
                <c:pt idx="48">
                  <c:v>47498.047194478742</c:v>
                </c:pt>
                <c:pt idx="49">
                  <c:v>47623.587878839418</c:v>
                </c:pt>
                <c:pt idx="50">
                  <c:v>49857.71059202707</c:v>
                </c:pt>
                <c:pt idx="51">
                  <c:v>48523.502340569001</c:v>
                </c:pt>
                <c:pt idx="52">
                  <c:v>53886.059889583114</c:v>
                </c:pt>
                <c:pt idx="53">
                  <c:v>51731.903041398706</c:v>
                </c:pt>
                <c:pt idx="54">
                  <c:v>55308.94741591093</c:v>
                </c:pt>
                <c:pt idx="55">
                  <c:v>55588.608783906988</c:v>
                </c:pt>
                <c:pt idx="56">
                  <c:v>53561.131633659272</c:v>
                </c:pt>
                <c:pt idx="57">
                  <c:v>54647.082634772218</c:v>
                </c:pt>
                <c:pt idx="58">
                  <c:v>49664.335697537201</c:v>
                </c:pt>
                <c:pt idx="59">
                  <c:v>50733.843925408713</c:v>
                </c:pt>
                <c:pt idx="60">
                  <c:v>51281.504112029113</c:v>
                </c:pt>
                <c:pt idx="61">
                  <c:v>52952.023297101143</c:v>
                </c:pt>
                <c:pt idx="62">
                  <c:v>53902.336013295651</c:v>
                </c:pt>
                <c:pt idx="63">
                  <c:v>54795.063407963353</c:v>
                </c:pt>
                <c:pt idx="64">
                  <c:v>54889.150247862315</c:v>
                </c:pt>
                <c:pt idx="65">
                  <c:v>56267.288463396202</c:v>
                </c:pt>
                <c:pt idx="66">
                  <c:v>57153.706153777253</c:v>
                </c:pt>
                <c:pt idx="67">
                  <c:v>55428.594253818352</c:v>
                </c:pt>
                <c:pt idx="68">
                  <c:v>55279.840729203577</c:v>
                </c:pt>
                <c:pt idx="69">
                  <c:v>58321.997954035221</c:v>
                </c:pt>
                <c:pt idx="70">
                  <c:v>54117.705032935002</c:v>
                </c:pt>
                <c:pt idx="71">
                  <c:v>54292.638336532182</c:v>
                </c:pt>
                <c:pt idx="72">
                  <c:v>53607.557807917736</c:v>
                </c:pt>
                <c:pt idx="73">
                  <c:v>55990.056128404249</c:v>
                </c:pt>
                <c:pt idx="74">
                  <c:v>61428.688974689016</c:v>
                </c:pt>
                <c:pt idx="75">
                  <c:v>61009.350337959288</c:v>
                </c:pt>
                <c:pt idx="76">
                  <c:v>62503.709798071592</c:v>
                </c:pt>
                <c:pt idx="77">
                  <c:v>63771.146733431902</c:v>
                </c:pt>
                <c:pt idx="78">
                  <c:v>65481.27786608148</c:v>
                </c:pt>
                <c:pt idx="79">
                  <c:v>61969.820439055336</c:v>
                </c:pt>
                <c:pt idx="80">
                  <c:v>62956.530522841182</c:v>
                </c:pt>
                <c:pt idx="81">
                  <c:v>61399.496585819739</c:v>
                </c:pt>
                <c:pt idx="82">
                  <c:v>60324.821963278897</c:v>
                </c:pt>
                <c:pt idx="83">
                  <c:v>59703.349108706621</c:v>
                </c:pt>
                <c:pt idx="84">
                  <c:v>61545.9656967068</c:v>
                </c:pt>
                <c:pt idx="85">
                  <c:v>60885.081975868772</c:v>
                </c:pt>
                <c:pt idx="86">
                  <c:v>62718.090664384334</c:v>
                </c:pt>
                <c:pt idx="87">
                  <c:v>62356.531475584037</c:v>
                </c:pt>
                <c:pt idx="88">
                  <c:v>65317.613379103306</c:v>
                </c:pt>
                <c:pt idx="89">
                  <c:v>67922.313067655923</c:v>
                </c:pt>
                <c:pt idx="90">
                  <c:v>66881.035763897613</c:v>
                </c:pt>
                <c:pt idx="91">
                  <c:v>64782.719909563639</c:v>
                </c:pt>
                <c:pt idx="92">
                  <c:v>65636.795977933871</c:v>
                </c:pt>
                <c:pt idx="93">
                  <c:v>66789.153245711481</c:v>
                </c:pt>
                <c:pt idx="94">
                  <c:v>63450.938535241694</c:v>
                </c:pt>
                <c:pt idx="95">
                  <c:v>63685.701699664656</c:v>
                </c:pt>
                <c:pt idx="96">
                  <c:v>62397.009321874866</c:v>
                </c:pt>
                <c:pt idx="97">
                  <c:v>63420.850171684113</c:v>
                </c:pt>
                <c:pt idx="98">
                  <c:v>65516.008069766285</c:v>
                </c:pt>
                <c:pt idx="99">
                  <c:v>67306.49383915207</c:v>
                </c:pt>
                <c:pt idx="100">
                  <c:v>67887.495910557394</c:v>
                </c:pt>
                <c:pt idx="101">
                  <c:v>67850.043150706479</c:v>
                </c:pt>
                <c:pt idx="102">
                  <c:v>69070.422520674547</c:v>
                </c:pt>
                <c:pt idx="103">
                  <c:v>67150.550612981373</c:v>
                </c:pt>
                <c:pt idx="104">
                  <c:v>67211.651351849432</c:v>
                </c:pt>
                <c:pt idx="105">
                  <c:v>67495.686828975216</c:v>
                </c:pt>
                <c:pt idx="106">
                  <c:v>65023.873212856488</c:v>
                </c:pt>
                <c:pt idx="107">
                  <c:v>61413.931328591527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5B-4167-9ECF-20D134C55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667152"/>
        <c:axId val="814664656"/>
      </c:scatterChart>
      <c:valAx>
        <c:axId val="81466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Drugs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4664656"/>
        <c:crosses val="autoZero"/>
        <c:crossBetween val="midCat"/>
      </c:valAx>
      <c:valAx>
        <c:axId val="8146646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Number of Houses Sold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46671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Criminal Damage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Number of Houses Sold</c:v>
          </c:tx>
          <c:spPr>
            <a:ln w="19050">
              <a:noFill/>
            </a:ln>
          </c:spPr>
          <c:xVal>
            <c:numRef>
              <c:f>Regression!$F$2:$F$109</c:f>
              <c:numCache>
                <c:formatCode>General</c:formatCode>
                <c:ptCount val="108"/>
                <c:pt idx="0">
                  <c:v>8061</c:v>
                </c:pt>
                <c:pt idx="1">
                  <c:v>7677</c:v>
                </c:pt>
                <c:pt idx="2">
                  <c:v>7818</c:v>
                </c:pt>
                <c:pt idx="3">
                  <c:v>8113</c:v>
                </c:pt>
                <c:pt idx="4">
                  <c:v>8273</c:v>
                </c:pt>
                <c:pt idx="5">
                  <c:v>7981</c:v>
                </c:pt>
                <c:pt idx="6">
                  <c:v>7872</c:v>
                </c:pt>
                <c:pt idx="7">
                  <c:v>7476</c:v>
                </c:pt>
                <c:pt idx="8">
                  <c:v>7367</c:v>
                </c:pt>
                <c:pt idx="9">
                  <c:v>7517</c:v>
                </c:pt>
                <c:pt idx="10">
                  <c:v>7048</c:v>
                </c:pt>
                <c:pt idx="11">
                  <c:v>6669</c:v>
                </c:pt>
                <c:pt idx="12">
                  <c:v>6866</c:v>
                </c:pt>
                <c:pt idx="13">
                  <c:v>6585</c:v>
                </c:pt>
                <c:pt idx="14">
                  <c:v>7867</c:v>
                </c:pt>
                <c:pt idx="15">
                  <c:v>7873</c:v>
                </c:pt>
                <c:pt idx="16">
                  <c:v>8237</c:v>
                </c:pt>
                <c:pt idx="17">
                  <c:v>7636</c:v>
                </c:pt>
                <c:pt idx="18">
                  <c:v>7420</c:v>
                </c:pt>
                <c:pt idx="19">
                  <c:v>7080</c:v>
                </c:pt>
                <c:pt idx="20">
                  <c:v>6912</c:v>
                </c:pt>
                <c:pt idx="21">
                  <c:v>6745</c:v>
                </c:pt>
                <c:pt idx="22">
                  <c:v>6581</c:v>
                </c:pt>
                <c:pt idx="23">
                  <c:v>5763</c:v>
                </c:pt>
                <c:pt idx="24">
                  <c:v>5931</c:v>
                </c:pt>
                <c:pt idx="25">
                  <c:v>5719</c:v>
                </c:pt>
                <c:pt idx="26">
                  <c:v>7169</c:v>
                </c:pt>
                <c:pt idx="27">
                  <c:v>7177</c:v>
                </c:pt>
                <c:pt idx="28">
                  <c:v>7022</c:v>
                </c:pt>
                <c:pt idx="29">
                  <c:v>7187</c:v>
                </c:pt>
                <c:pt idx="30">
                  <c:v>7136</c:v>
                </c:pt>
                <c:pt idx="31">
                  <c:v>6477</c:v>
                </c:pt>
                <c:pt idx="32">
                  <c:v>6250</c:v>
                </c:pt>
                <c:pt idx="33">
                  <c:v>6421</c:v>
                </c:pt>
                <c:pt idx="34">
                  <c:v>6288</c:v>
                </c:pt>
                <c:pt idx="35">
                  <c:v>5120</c:v>
                </c:pt>
                <c:pt idx="36">
                  <c:v>5632</c:v>
                </c:pt>
                <c:pt idx="37">
                  <c:v>5270</c:v>
                </c:pt>
                <c:pt idx="38">
                  <c:v>6060</c:v>
                </c:pt>
                <c:pt idx="39">
                  <c:v>6231</c:v>
                </c:pt>
                <c:pt idx="40">
                  <c:v>6291</c:v>
                </c:pt>
                <c:pt idx="41">
                  <c:v>6026</c:v>
                </c:pt>
                <c:pt idx="42">
                  <c:v>6053</c:v>
                </c:pt>
                <c:pt idx="43">
                  <c:v>6733</c:v>
                </c:pt>
                <c:pt idx="44">
                  <c:v>5718</c:v>
                </c:pt>
                <c:pt idx="45">
                  <c:v>5901</c:v>
                </c:pt>
                <c:pt idx="46">
                  <c:v>5701</c:v>
                </c:pt>
                <c:pt idx="47">
                  <c:v>5298</c:v>
                </c:pt>
                <c:pt idx="48">
                  <c:v>5600</c:v>
                </c:pt>
                <c:pt idx="49">
                  <c:v>5063</c:v>
                </c:pt>
                <c:pt idx="50">
                  <c:v>5809</c:v>
                </c:pt>
                <c:pt idx="51">
                  <c:v>5162</c:v>
                </c:pt>
                <c:pt idx="52">
                  <c:v>5661</c:v>
                </c:pt>
                <c:pt idx="53">
                  <c:v>5455</c:v>
                </c:pt>
                <c:pt idx="54">
                  <c:v>5288</c:v>
                </c:pt>
                <c:pt idx="55">
                  <c:v>5381</c:v>
                </c:pt>
                <c:pt idx="56">
                  <c:v>4600</c:v>
                </c:pt>
                <c:pt idx="57">
                  <c:v>4740</c:v>
                </c:pt>
                <c:pt idx="58">
                  <c:v>4958</c:v>
                </c:pt>
                <c:pt idx="59">
                  <c:v>4441</c:v>
                </c:pt>
                <c:pt idx="60">
                  <c:v>4565</c:v>
                </c:pt>
                <c:pt idx="61">
                  <c:v>4563</c:v>
                </c:pt>
                <c:pt idx="62">
                  <c:v>4472</c:v>
                </c:pt>
                <c:pt idx="63">
                  <c:v>4809</c:v>
                </c:pt>
                <c:pt idx="64">
                  <c:v>4956</c:v>
                </c:pt>
                <c:pt idx="65">
                  <c:v>4953</c:v>
                </c:pt>
                <c:pt idx="66">
                  <c:v>5020</c:v>
                </c:pt>
                <c:pt idx="67">
                  <c:v>4816</c:v>
                </c:pt>
                <c:pt idx="68">
                  <c:v>4380</c:v>
                </c:pt>
                <c:pt idx="69">
                  <c:v>4602</c:v>
                </c:pt>
                <c:pt idx="70">
                  <c:v>4588</c:v>
                </c:pt>
                <c:pt idx="71">
                  <c:v>4482</c:v>
                </c:pt>
                <c:pt idx="72">
                  <c:v>4464</c:v>
                </c:pt>
                <c:pt idx="73">
                  <c:v>4236</c:v>
                </c:pt>
                <c:pt idx="74">
                  <c:v>4846</c:v>
                </c:pt>
                <c:pt idx="75">
                  <c:v>4703</c:v>
                </c:pt>
                <c:pt idx="76">
                  <c:v>4945</c:v>
                </c:pt>
                <c:pt idx="77">
                  <c:v>5110</c:v>
                </c:pt>
                <c:pt idx="78">
                  <c:v>5164</c:v>
                </c:pt>
                <c:pt idx="79">
                  <c:v>4925</c:v>
                </c:pt>
                <c:pt idx="80">
                  <c:v>5095</c:v>
                </c:pt>
                <c:pt idx="81">
                  <c:v>5491</c:v>
                </c:pt>
                <c:pt idx="82">
                  <c:v>5281</c:v>
                </c:pt>
                <c:pt idx="83">
                  <c:v>5019</c:v>
                </c:pt>
                <c:pt idx="84">
                  <c:v>4823</c:v>
                </c:pt>
                <c:pt idx="85">
                  <c:v>4628</c:v>
                </c:pt>
                <c:pt idx="86">
                  <c:v>5364</c:v>
                </c:pt>
                <c:pt idx="87">
                  <c:v>5284</c:v>
                </c:pt>
                <c:pt idx="88">
                  <c:v>5539</c:v>
                </c:pt>
                <c:pt idx="89">
                  <c:v>5461</c:v>
                </c:pt>
                <c:pt idx="90">
                  <c:v>5597</c:v>
                </c:pt>
                <c:pt idx="91">
                  <c:v>5163</c:v>
                </c:pt>
                <c:pt idx="92">
                  <c:v>4903</c:v>
                </c:pt>
                <c:pt idx="93">
                  <c:v>5383</c:v>
                </c:pt>
                <c:pt idx="94">
                  <c:v>5435</c:v>
                </c:pt>
                <c:pt idx="95">
                  <c:v>5396</c:v>
                </c:pt>
                <c:pt idx="96">
                  <c:v>5049</c:v>
                </c:pt>
                <c:pt idx="97">
                  <c:v>5010</c:v>
                </c:pt>
                <c:pt idx="98">
                  <c:v>5092</c:v>
                </c:pt>
                <c:pt idx="99">
                  <c:v>5224</c:v>
                </c:pt>
                <c:pt idx="100">
                  <c:v>5967</c:v>
                </c:pt>
                <c:pt idx="101">
                  <c:v>5338</c:v>
                </c:pt>
                <c:pt idx="102">
                  <c:v>5773</c:v>
                </c:pt>
                <c:pt idx="103">
                  <c:v>5584</c:v>
                </c:pt>
                <c:pt idx="104">
                  <c:v>5210</c:v>
                </c:pt>
                <c:pt idx="105">
                  <c:v>5456</c:v>
                </c:pt>
                <c:pt idx="106">
                  <c:v>5092</c:v>
                </c:pt>
                <c:pt idx="107">
                  <c:v>5276</c:v>
                </c:pt>
              </c:numCache>
            </c:numRef>
          </c:xVal>
          <c:yVal>
            <c:numRef>
              <c:f>Regression!$H$2:$H$109</c:f>
              <c:numCache>
                <c:formatCode>General</c:formatCode>
                <c:ptCount val="108"/>
                <c:pt idx="0">
                  <c:v>51461</c:v>
                </c:pt>
                <c:pt idx="1">
                  <c:v>53832</c:v>
                </c:pt>
                <c:pt idx="2">
                  <c:v>50014</c:v>
                </c:pt>
                <c:pt idx="3">
                  <c:v>52480</c:v>
                </c:pt>
                <c:pt idx="4">
                  <c:v>53707</c:v>
                </c:pt>
                <c:pt idx="5">
                  <c:v>48965</c:v>
                </c:pt>
                <c:pt idx="6">
                  <c:v>44580</c:v>
                </c:pt>
                <c:pt idx="7">
                  <c:v>40160</c:v>
                </c:pt>
                <c:pt idx="8">
                  <c:v>34534</c:v>
                </c:pt>
                <c:pt idx="9">
                  <c:v>35822</c:v>
                </c:pt>
                <c:pt idx="10">
                  <c:v>28740</c:v>
                </c:pt>
                <c:pt idx="11">
                  <c:v>31851</c:v>
                </c:pt>
                <c:pt idx="12">
                  <c:v>22242</c:v>
                </c:pt>
                <c:pt idx="13">
                  <c:v>22378</c:v>
                </c:pt>
                <c:pt idx="14">
                  <c:v>28958</c:v>
                </c:pt>
                <c:pt idx="15">
                  <c:v>31111</c:v>
                </c:pt>
                <c:pt idx="16">
                  <c:v>36274</c:v>
                </c:pt>
                <c:pt idx="17">
                  <c:v>42760</c:v>
                </c:pt>
                <c:pt idx="18">
                  <c:v>52545</c:v>
                </c:pt>
                <c:pt idx="19">
                  <c:v>49219</c:v>
                </c:pt>
                <c:pt idx="20">
                  <c:v>50318</c:v>
                </c:pt>
                <c:pt idx="21">
                  <c:v>54953</c:v>
                </c:pt>
                <c:pt idx="22">
                  <c:v>51675</c:v>
                </c:pt>
                <c:pt idx="23">
                  <c:v>64459</c:v>
                </c:pt>
                <c:pt idx="24">
                  <c:v>34067</c:v>
                </c:pt>
                <c:pt idx="25">
                  <c:v>38023</c:v>
                </c:pt>
                <c:pt idx="26">
                  <c:v>44487</c:v>
                </c:pt>
                <c:pt idx="27">
                  <c:v>44434</c:v>
                </c:pt>
                <c:pt idx="28">
                  <c:v>44515</c:v>
                </c:pt>
                <c:pt idx="29">
                  <c:v>54289</c:v>
                </c:pt>
                <c:pt idx="30">
                  <c:v>58555</c:v>
                </c:pt>
                <c:pt idx="31">
                  <c:v>53477</c:v>
                </c:pt>
                <c:pt idx="32">
                  <c:v>50395</c:v>
                </c:pt>
                <c:pt idx="33">
                  <c:v>49662</c:v>
                </c:pt>
                <c:pt idx="34">
                  <c:v>47959</c:v>
                </c:pt>
                <c:pt idx="35">
                  <c:v>47823</c:v>
                </c:pt>
                <c:pt idx="36">
                  <c:v>34048</c:v>
                </c:pt>
                <c:pt idx="37">
                  <c:v>34838</c:v>
                </c:pt>
                <c:pt idx="38">
                  <c:v>40719</c:v>
                </c:pt>
                <c:pt idx="39">
                  <c:v>43431</c:v>
                </c:pt>
                <c:pt idx="40">
                  <c:v>41353</c:v>
                </c:pt>
                <c:pt idx="41">
                  <c:v>48971</c:v>
                </c:pt>
                <c:pt idx="42">
                  <c:v>54040</c:v>
                </c:pt>
                <c:pt idx="43">
                  <c:v>55412</c:v>
                </c:pt>
                <c:pt idx="44">
                  <c:v>54726</c:v>
                </c:pt>
                <c:pt idx="45">
                  <c:v>49349</c:v>
                </c:pt>
                <c:pt idx="46">
                  <c:v>50738</c:v>
                </c:pt>
                <c:pt idx="47">
                  <c:v>53378</c:v>
                </c:pt>
                <c:pt idx="48">
                  <c:v>38991</c:v>
                </c:pt>
                <c:pt idx="49">
                  <c:v>39820</c:v>
                </c:pt>
                <c:pt idx="50">
                  <c:v>54431</c:v>
                </c:pt>
                <c:pt idx="51">
                  <c:v>36927</c:v>
                </c:pt>
                <c:pt idx="52">
                  <c:v>45371</c:v>
                </c:pt>
                <c:pt idx="53">
                  <c:v>50541</c:v>
                </c:pt>
                <c:pt idx="54">
                  <c:v>52615</c:v>
                </c:pt>
                <c:pt idx="55">
                  <c:v>56536</c:v>
                </c:pt>
                <c:pt idx="56">
                  <c:v>47313</c:v>
                </c:pt>
                <c:pt idx="57">
                  <c:v>50666</c:v>
                </c:pt>
                <c:pt idx="58">
                  <c:v>53929</c:v>
                </c:pt>
                <c:pt idx="59">
                  <c:v>47945</c:v>
                </c:pt>
                <c:pt idx="60">
                  <c:v>39477</c:v>
                </c:pt>
                <c:pt idx="61">
                  <c:v>39848</c:v>
                </c:pt>
                <c:pt idx="62">
                  <c:v>46678</c:v>
                </c:pt>
                <c:pt idx="63">
                  <c:v>44490</c:v>
                </c:pt>
                <c:pt idx="64">
                  <c:v>56133</c:v>
                </c:pt>
                <c:pt idx="65">
                  <c:v>56138</c:v>
                </c:pt>
                <c:pt idx="66">
                  <c:v>65271</c:v>
                </c:pt>
                <c:pt idx="67">
                  <c:v>68990</c:v>
                </c:pt>
                <c:pt idx="68">
                  <c:v>62128</c:v>
                </c:pt>
                <c:pt idx="69">
                  <c:v>67650</c:v>
                </c:pt>
                <c:pt idx="70">
                  <c:v>71884</c:v>
                </c:pt>
                <c:pt idx="71">
                  <c:v>68696</c:v>
                </c:pt>
                <c:pt idx="72">
                  <c:v>59568</c:v>
                </c:pt>
                <c:pt idx="73">
                  <c:v>57645</c:v>
                </c:pt>
                <c:pt idx="74">
                  <c:v>59558</c:v>
                </c:pt>
                <c:pt idx="75">
                  <c:v>61570</c:v>
                </c:pt>
                <c:pt idx="76">
                  <c:v>65719</c:v>
                </c:pt>
                <c:pt idx="77">
                  <c:v>68633</c:v>
                </c:pt>
                <c:pt idx="78">
                  <c:v>72812</c:v>
                </c:pt>
                <c:pt idx="79">
                  <c:v>73870</c:v>
                </c:pt>
                <c:pt idx="80">
                  <c:v>67642</c:v>
                </c:pt>
                <c:pt idx="81">
                  <c:v>72234</c:v>
                </c:pt>
                <c:pt idx="82">
                  <c:v>61284</c:v>
                </c:pt>
                <c:pt idx="83">
                  <c:v>65590</c:v>
                </c:pt>
                <c:pt idx="84">
                  <c:v>50914</c:v>
                </c:pt>
                <c:pt idx="85">
                  <c:v>50616</c:v>
                </c:pt>
                <c:pt idx="86">
                  <c:v>57058</c:v>
                </c:pt>
                <c:pt idx="87">
                  <c:v>54602</c:v>
                </c:pt>
                <c:pt idx="88">
                  <c:v>61003</c:v>
                </c:pt>
                <c:pt idx="89">
                  <c:v>71022</c:v>
                </c:pt>
                <c:pt idx="90">
                  <c:v>77860</c:v>
                </c:pt>
                <c:pt idx="91">
                  <c:v>70037</c:v>
                </c:pt>
                <c:pt idx="92">
                  <c:v>70028</c:v>
                </c:pt>
                <c:pt idx="93">
                  <c:v>74213</c:v>
                </c:pt>
                <c:pt idx="94">
                  <c:v>66359</c:v>
                </c:pt>
                <c:pt idx="95">
                  <c:v>66746</c:v>
                </c:pt>
                <c:pt idx="96">
                  <c:v>51950</c:v>
                </c:pt>
                <c:pt idx="97">
                  <c:v>55385</c:v>
                </c:pt>
                <c:pt idx="98">
                  <c:v>107610</c:v>
                </c:pt>
                <c:pt idx="99">
                  <c:v>41972</c:v>
                </c:pt>
                <c:pt idx="100">
                  <c:v>48164</c:v>
                </c:pt>
                <c:pt idx="101">
                  <c:v>60519</c:v>
                </c:pt>
                <c:pt idx="102">
                  <c:v>63760</c:v>
                </c:pt>
                <c:pt idx="103">
                  <c:v>63514</c:v>
                </c:pt>
                <c:pt idx="104">
                  <c:v>60962</c:v>
                </c:pt>
                <c:pt idx="105">
                  <c:v>58015</c:v>
                </c:pt>
                <c:pt idx="106">
                  <c:v>59633</c:v>
                </c:pt>
                <c:pt idx="107">
                  <c:v>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FB-4272-B8EE-CA60DDD1B40B}"/>
            </c:ext>
          </c:extLst>
        </c:ser>
        <c:ser>
          <c:idx val="1"/>
          <c:order val="1"/>
          <c:tx>
            <c:v>Predicted Number of Houses Sold</c:v>
          </c:tx>
          <c:spPr>
            <a:ln w="19050">
              <a:noFill/>
            </a:ln>
          </c:spPr>
          <c:xVal>
            <c:numRef>
              <c:f>Regression!$F$2:$F$109</c:f>
              <c:numCache>
                <c:formatCode>General</c:formatCode>
                <c:ptCount val="108"/>
                <c:pt idx="0">
                  <c:v>8061</c:v>
                </c:pt>
                <c:pt idx="1">
                  <c:v>7677</c:v>
                </c:pt>
                <c:pt idx="2">
                  <c:v>7818</c:v>
                </c:pt>
                <c:pt idx="3">
                  <c:v>8113</c:v>
                </c:pt>
                <c:pt idx="4">
                  <c:v>8273</c:v>
                </c:pt>
                <c:pt idx="5">
                  <c:v>7981</c:v>
                </c:pt>
                <c:pt idx="6">
                  <c:v>7872</c:v>
                </c:pt>
                <c:pt idx="7">
                  <c:v>7476</c:v>
                </c:pt>
                <c:pt idx="8">
                  <c:v>7367</c:v>
                </c:pt>
                <c:pt idx="9">
                  <c:v>7517</c:v>
                </c:pt>
                <c:pt idx="10">
                  <c:v>7048</c:v>
                </c:pt>
                <c:pt idx="11">
                  <c:v>6669</c:v>
                </c:pt>
                <c:pt idx="12">
                  <c:v>6866</c:v>
                </c:pt>
                <c:pt idx="13">
                  <c:v>6585</c:v>
                </c:pt>
                <c:pt idx="14">
                  <c:v>7867</c:v>
                </c:pt>
                <c:pt idx="15">
                  <c:v>7873</c:v>
                </c:pt>
                <c:pt idx="16">
                  <c:v>8237</c:v>
                </c:pt>
                <c:pt idx="17">
                  <c:v>7636</c:v>
                </c:pt>
                <c:pt idx="18">
                  <c:v>7420</c:v>
                </c:pt>
                <c:pt idx="19">
                  <c:v>7080</c:v>
                </c:pt>
                <c:pt idx="20">
                  <c:v>6912</c:v>
                </c:pt>
                <c:pt idx="21">
                  <c:v>6745</c:v>
                </c:pt>
                <c:pt idx="22">
                  <c:v>6581</c:v>
                </c:pt>
                <c:pt idx="23">
                  <c:v>5763</c:v>
                </c:pt>
                <c:pt idx="24">
                  <c:v>5931</c:v>
                </c:pt>
                <c:pt idx="25">
                  <c:v>5719</c:v>
                </c:pt>
                <c:pt idx="26">
                  <c:v>7169</c:v>
                </c:pt>
                <c:pt idx="27">
                  <c:v>7177</c:v>
                </c:pt>
                <c:pt idx="28">
                  <c:v>7022</c:v>
                </c:pt>
                <c:pt idx="29">
                  <c:v>7187</c:v>
                </c:pt>
                <c:pt idx="30">
                  <c:v>7136</c:v>
                </c:pt>
                <c:pt idx="31">
                  <c:v>6477</c:v>
                </c:pt>
                <c:pt idx="32">
                  <c:v>6250</c:v>
                </c:pt>
                <c:pt idx="33">
                  <c:v>6421</c:v>
                </c:pt>
                <c:pt idx="34">
                  <c:v>6288</c:v>
                </c:pt>
                <c:pt idx="35">
                  <c:v>5120</c:v>
                </c:pt>
                <c:pt idx="36">
                  <c:v>5632</c:v>
                </c:pt>
                <c:pt idx="37">
                  <c:v>5270</c:v>
                </c:pt>
                <c:pt idx="38">
                  <c:v>6060</c:v>
                </c:pt>
                <c:pt idx="39">
                  <c:v>6231</c:v>
                </c:pt>
                <c:pt idx="40">
                  <c:v>6291</c:v>
                </c:pt>
                <c:pt idx="41">
                  <c:v>6026</c:v>
                </c:pt>
                <c:pt idx="42">
                  <c:v>6053</c:v>
                </c:pt>
                <c:pt idx="43">
                  <c:v>6733</c:v>
                </c:pt>
                <c:pt idx="44">
                  <c:v>5718</c:v>
                </c:pt>
                <c:pt idx="45">
                  <c:v>5901</c:v>
                </c:pt>
                <c:pt idx="46">
                  <c:v>5701</c:v>
                </c:pt>
                <c:pt idx="47">
                  <c:v>5298</c:v>
                </c:pt>
                <c:pt idx="48">
                  <c:v>5600</c:v>
                </c:pt>
                <c:pt idx="49">
                  <c:v>5063</c:v>
                </c:pt>
                <c:pt idx="50">
                  <c:v>5809</c:v>
                </c:pt>
                <c:pt idx="51">
                  <c:v>5162</c:v>
                </c:pt>
                <c:pt idx="52">
                  <c:v>5661</c:v>
                </c:pt>
                <c:pt idx="53">
                  <c:v>5455</c:v>
                </c:pt>
                <c:pt idx="54">
                  <c:v>5288</c:v>
                </c:pt>
                <c:pt idx="55">
                  <c:v>5381</c:v>
                </c:pt>
                <c:pt idx="56">
                  <c:v>4600</c:v>
                </c:pt>
                <c:pt idx="57">
                  <c:v>4740</c:v>
                </c:pt>
                <c:pt idx="58">
                  <c:v>4958</c:v>
                </c:pt>
                <c:pt idx="59">
                  <c:v>4441</c:v>
                </c:pt>
                <c:pt idx="60">
                  <c:v>4565</c:v>
                </c:pt>
                <c:pt idx="61">
                  <c:v>4563</c:v>
                </c:pt>
                <c:pt idx="62">
                  <c:v>4472</c:v>
                </c:pt>
                <c:pt idx="63">
                  <c:v>4809</c:v>
                </c:pt>
                <c:pt idx="64">
                  <c:v>4956</c:v>
                </c:pt>
                <c:pt idx="65">
                  <c:v>4953</c:v>
                </c:pt>
                <c:pt idx="66">
                  <c:v>5020</c:v>
                </c:pt>
                <c:pt idx="67">
                  <c:v>4816</c:v>
                </c:pt>
                <c:pt idx="68">
                  <c:v>4380</c:v>
                </c:pt>
                <c:pt idx="69">
                  <c:v>4602</c:v>
                </c:pt>
                <c:pt idx="70">
                  <c:v>4588</c:v>
                </c:pt>
                <c:pt idx="71">
                  <c:v>4482</c:v>
                </c:pt>
                <c:pt idx="72">
                  <c:v>4464</c:v>
                </c:pt>
                <c:pt idx="73">
                  <c:v>4236</c:v>
                </c:pt>
                <c:pt idx="74">
                  <c:v>4846</c:v>
                </c:pt>
                <c:pt idx="75">
                  <c:v>4703</c:v>
                </c:pt>
                <c:pt idx="76">
                  <c:v>4945</c:v>
                </c:pt>
                <c:pt idx="77">
                  <c:v>5110</c:v>
                </c:pt>
                <c:pt idx="78">
                  <c:v>5164</c:v>
                </c:pt>
                <c:pt idx="79">
                  <c:v>4925</c:v>
                </c:pt>
                <c:pt idx="80">
                  <c:v>5095</c:v>
                </c:pt>
                <c:pt idx="81">
                  <c:v>5491</c:v>
                </c:pt>
                <c:pt idx="82">
                  <c:v>5281</c:v>
                </c:pt>
                <c:pt idx="83">
                  <c:v>5019</c:v>
                </c:pt>
                <c:pt idx="84">
                  <c:v>4823</c:v>
                </c:pt>
                <c:pt idx="85">
                  <c:v>4628</c:v>
                </c:pt>
                <c:pt idx="86">
                  <c:v>5364</c:v>
                </c:pt>
                <c:pt idx="87">
                  <c:v>5284</c:v>
                </c:pt>
                <c:pt idx="88">
                  <c:v>5539</c:v>
                </c:pt>
                <c:pt idx="89">
                  <c:v>5461</c:v>
                </c:pt>
                <c:pt idx="90">
                  <c:v>5597</c:v>
                </c:pt>
                <c:pt idx="91">
                  <c:v>5163</c:v>
                </c:pt>
                <c:pt idx="92">
                  <c:v>4903</c:v>
                </c:pt>
                <c:pt idx="93">
                  <c:v>5383</c:v>
                </c:pt>
                <c:pt idx="94">
                  <c:v>5435</c:v>
                </c:pt>
                <c:pt idx="95">
                  <c:v>5396</c:v>
                </c:pt>
                <c:pt idx="96">
                  <c:v>5049</c:v>
                </c:pt>
                <c:pt idx="97">
                  <c:v>5010</c:v>
                </c:pt>
                <c:pt idx="98">
                  <c:v>5092</c:v>
                </c:pt>
                <c:pt idx="99">
                  <c:v>5224</c:v>
                </c:pt>
                <c:pt idx="100">
                  <c:v>5967</c:v>
                </c:pt>
                <c:pt idx="101">
                  <c:v>5338</c:v>
                </c:pt>
                <c:pt idx="102">
                  <c:v>5773</c:v>
                </c:pt>
                <c:pt idx="103">
                  <c:v>5584</c:v>
                </c:pt>
                <c:pt idx="104">
                  <c:v>5210</c:v>
                </c:pt>
                <c:pt idx="105">
                  <c:v>5456</c:v>
                </c:pt>
                <c:pt idx="106">
                  <c:v>5092</c:v>
                </c:pt>
                <c:pt idx="107">
                  <c:v>5276</c:v>
                </c:pt>
              </c:numCache>
            </c:numRef>
          </c:xVal>
          <c:yVal>
            <c:numRef>
              <c:f>Regression!$K$32:$K$139</c:f>
              <c:numCache>
                <c:formatCode>General</c:formatCode>
                <c:ptCount val="108"/>
                <c:pt idx="0">
                  <c:v>35477.16001282035</c:v>
                </c:pt>
                <c:pt idx="1">
                  <c:v>42116.911596510123</c:v>
                </c:pt>
                <c:pt idx="2">
                  <c:v>41812.423084276772</c:v>
                </c:pt>
                <c:pt idx="3">
                  <c:v>41605.272174591126</c:v>
                </c:pt>
                <c:pt idx="4">
                  <c:v>43994.775214472647</c:v>
                </c:pt>
                <c:pt idx="5">
                  <c:v>44914.746079599689</c:v>
                </c:pt>
                <c:pt idx="6">
                  <c:v>48694.356752035077</c:v>
                </c:pt>
                <c:pt idx="7">
                  <c:v>45694.857169238981</c:v>
                </c:pt>
                <c:pt idx="8">
                  <c:v>47040.123737578324</c:v>
                </c:pt>
                <c:pt idx="9">
                  <c:v>47846.670118440357</c:v>
                </c:pt>
                <c:pt idx="10">
                  <c:v>44715.583074626004</c:v>
                </c:pt>
                <c:pt idx="11">
                  <c:v>42070.291159727094</c:v>
                </c:pt>
                <c:pt idx="12">
                  <c:v>39153.457571887026</c:v>
                </c:pt>
                <c:pt idx="13">
                  <c:v>42703.590184658882</c:v>
                </c:pt>
                <c:pt idx="14">
                  <c:v>41494.308848636472</c:v>
                </c:pt>
                <c:pt idx="15">
                  <c:v>39226.195178386195</c:v>
                </c:pt>
                <c:pt idx="16">
                  <c:v>40005.383374220699</c:v>
                </c:pt>
                <c:pt idx="17">
                  <c:v>45239.384917020841</c:v>
                </c:pt>
                <c:pt idx="18">
                  <c:v>47287.112068702278</c:v>
                </c:pt>
                <c:pt idx="19">
                  <c:v>46540.004576840074</c:v>
                </c:pt>
                <c:pt idx="20">
                  <c:v>45509.432257316032</c:v>
                </c:pt>
                <c:pt idx="21">
                  <c:v>46882.747618418674</c:v>
                </c:pt>
                <c:pt idx="22">
                  <c:v>47174.621347339955</c:v>
                </c:pt>
                <c:pt idx="23">
                  <c:v>46516.735850481469</c:v>
                </c:pt>
                <c:pt idx="24">
                  <c:v>44421.536054351476</c:v>
                </c:pt>
                <c:pt idx="25">
                  <c:v>44421.674514053753</c:v>
                </c:pt>
                <c:pt idx="26">
                  <c:v>41635.427266648025</c:v>
                </c:pt>
                <c:pt idx="27">
                  <c:v>44577.390939029356</c:v>
                </c:pt>
                <c:pt idx="28">
                  <c:v>44548.176261002074</c:v>
                </c:pt>
                <c:pt idx="29">
                  <c:v>47763.158328273836</c:v>
                </c:pt>
                <c:pt idx="30">
                  <c:v>51269.851561836083</c:v>
                </c:pt>
                <c:pt idx="31">
                  <c:v>50508.698983940762</c:v>
                </c:pt>
                <c:pt idx="32">
                  <c:v>49928.694634559943</c:v>
                </c:pt>
                <c:pt idx="33">
                  <c:v>48760.763721542564</c:v>
                </c:pt>
                <c:pt idx="34">
                  <c:v>43204.141936078115</c:v>
                </c:pt>
                <c:pt idx="35">
                  <c:v>40858.622942943679</c:v>
                </c:pt>
                <c:pt idx="36">
                  <c:v>39294.447605055117</c:v>
                </c:pt>
                <c:pt idx="37">
                  <c:v>42792.061758825977</c:v>
                </c:pt>
                <c:pt idx="38">
                  <c:v>43961.065412561671</c:v>
                </c:pt>
                <c:pt idx="39">
                  <c:v>42538.885857776011</c:v>
                </c:pt>
                <c:pt idx="40">
                  <c:v>43139.289385410601</c:v>
                </c:pt>
                <c:pt idx="41">
                  <c:v>48170.332397597114</c:v>
                </c:pt>
                <c:pt idx="42">
                  <c:v>46678.401899032593</c:v>
                </c:pt>
                <c:pt idx="43">
                  <c:v>40267.960218861845</c:v>
                </c:pt>
                <c:pt idx="44">
                  <c:v>50054.646194956687</c:v>
                </c:pt>
                <c:pt idx="45">
                  <c:v>49203.587317047059</c:v>
                </c:pt>
                <c:pt idx="46">
                  <c:v>47024.257184190974</c:v>
                </c:pt>
                <c:pt idx="47">
                  <c:v>46091.41064931525</c:v>
                </c:pt>
                <c:pt idx="48">
                  <c:v>47498.047194478742</c:v>
                </c:pt>
                <c:pt idx="49">
                  <c:v>47623.587878839418</c:v>
                </c:pt>
                <c:pt idx="50">
                  <c:v>49857.71059202707</c:v>
                </c:pt>
                <c:pt idx="51">
                  <c:v>48523.502340569001</c:v>
                </c:pt>
                <c:pt idx="52">
                  <c:v>53886.059889583114</c:v>
                </c:pt>
                <c:pt idx="53">
                  <c:v>51731.903041398706</c:v>
                </c:pt>
                <c:pt idx="54">
                  <c:v>55308.94741591093</c:v>
                </c:pt>
                <c:pt idx="55">
                  <c:v>55588.608783906988</c:v>
                </c:pt>
                <c:pt idx="56">
                  <c:v>53561.131633659272</c:v>
                </c:pt>
                <c:pt idx="57">
                  <c:v>54647.082634772218</c:v>
                </c:pt>
                <c:pt idx="58">
                  <c:v>49664.335697537201</c:v>
                </c:pt>
                <c:pt idx="59">
                  <c:v>50733.843925408713</c:v>
                </c:pt>
                <c:pt idx="60">
                  <c:v>51281.504112029113</c:v>
                </c:pt>
                <c:pt idx="61">
                  <c:v>52952.023297101143</c:v>
                </c:pt>
                <c:pt idx="62">
                  <c:v>53902.336013295651</c:v>
                </c:pt>
                <c:pt idx="63">
                  <c:v>54795.063407963353</c:v>
                </c:pt>
                <c:pt idx="64">
                  <c:v>54889.150247862315</c:v>
                </c:pt>
                <c:pt idx="65">
                  <c:v>56267.288463396202</c:v>
                </c:pt>
                <c:pt idx="66">
                  <c:v>57153.706153777253</c:v>
                </c:pt>
                <c:pt idx="67">
                  <c:v>55428.594253818352</c:v>
                </c:pt>
                <c:pt idx="68">
                  <c:v>55279.840729203577</c:v>
                </c:pt>
                <c:pt idx="69">
                  <c:v>58321.997954035221</c:v>
                </c:pt>
                <c:pt idx="70">
                  <c:v>54117.705032935002</c:v>
                </c:pt>
                <c:pt idx="71">
                  <c:v>54292.638336532182</c:v>
                </c:pt>
                <c:pt idx="72">
                  <c:v>53607.557807917736</c:v>
                </c:pt>
                <c:pt idx="73">
                  <c:v>55990.056128404249</c:v>
                </c:pt>
                <c:pt idx="74">
                  <c:v>61428.688974689016</c:v>
                </c:pt>
                <c:pt idx="75">
                  <c:v>61009.350337959288</c:v>
                </c:pt>
                <c:pt idx="76">
                  <c:v>62503.709798071592</c:v>
                </c:pt>
                <c:pt idx="77">
                  <c:v>63771.146733431902</c:v>
                </c:pt>
                <c:pt idx="78">
                  <c:v>65481.27786608148</c:v>
                </c:pt>
                <c:pt idx="79">
                  <c:v>61969.820439055336</c:v>
                </c:pt>
                <c:pt idx="80">
                  <c:v>62956.530522841182</c:v>
                </c:pt>
                <c:pt idx="81">
                  <c:v>61399.496585819739</c:v>
                </c:pt>
                <c:pt idx="82">
                  <c:v>60324.821963278897</c:v>
                </c:pt>
                <c:pt idx="83">
                  <c:v>59703.349108706621</c:v>
                </c:pt>
                <c:pt idx="84">
                  <c:v>61545.9656967068</c:v>
                </c:pt>
                <c:pt idx="85">
                  <c:v>60885.081975868772</c:v>
                </c:pt>
                <c:pt idx="86">
                  <c:v>62718.090664384334</c:v>
                </c:pt>
                <c:pt idx="87">
                  <c:v>62356.531475584037</c:v>
                </c:pt>
                <c:pt idx="88">
                  <c:v>65317.613379103306</c:v>
                </c:pt>
                <c:pt idx="89">
                  <c:v>67922.313067655923</c:v>
                </c:pt>
                <c:pt idx="90">
                  <c:v>66881.035763897613</c:v>
                </c:pt>
                <c:pt idx="91">
                  <c:v>64782.719909563639</c:v>
                </c:pt>
                <c:pt idx="92">
                  <c:v>65636.795977933871</c:v>
                </c:pt>
                <c:pt idx="93">
                  <c:v>66789.153245711481</c:v>
                </c:pt>
                <c:pt idx="94">
                  <c:v>63450.938535241694</c:v>
                </c:pt>
                <c:pt idx="95">
                  <c:v>63685.701699664656</c:v>
                </c:pt>
                <c:pt idx="96">
                  <c:v>62397.009321874866</c:v>
                </c:pt>
                <c:pt idx="97">
                  <c:v>63420.850171684113</c:v>
                </c:pt>
                <c:pt idx="98">
                  <c:v>65516.008069766285</c:v>
                </c:pt>
                <c:pt idx="99">
                  <c:v>67306.49383915207</c:v>
                </c:pt>
                <c:pt idx="100">
                  <c:v>67887.495910557394</c:v>
                </c:pt>
                <c:pt idx="101">
                  <c:v>67850.043150706479</c:v>
                </c:pt>
                <c:pt idx="102">
                  <c:v>69070.422520674547</c:v>
                </c:pt>
                <c:pt idx="103">
                  <c:v>67150.550612981373</c:v>
                </c:pt>
                <c:pt idx="104">
                  <c:v>67211.651351849432</c:v>
                </c:pt>
                <c:pt idx="105">
                  <c:v>67495.686828975216</c:v>
                </c:pt>
                <c:pt idx="106">
                  <c:v>65023.873212856488</c:v>
                </c:pt>
                <c:pt idx="107">
                  <c:v>61413.931328591527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FB-4272-B8EE-CA60DDD1B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533536"/>
        <c:axId val="870345696"/>
      </c:scatterChart>
      <c:valAx>
        <c:axId val="873533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Criminal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0345696"/>
        <c:crosses val="autoZero"/>
        <c:crossBetween val="midCat"/>
      </c:valAx>
      <c:valAx>
        <c:axId val="8703456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Number of Houses Sold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35335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Burglary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Number of Houses Sold</c:v>
          </c:tx>
          <c:spPr>
            <a:ln w="19050">
              <a:noFill/>
            </a:ln>
          </c:spPr>
          <c:xVal>
            <c:numRef>
              <c:f>Regression!$G$2:$G$109</c:f>
              <c:numCache>
                <c:formatCode>General</c:formatCode>
                <c:ptCount val="108"/>
                <c:pt idx="0">
                  <c:v>8396</c:v>
                </c:pt>
                <c:pt idx="1">
                  <c:v>7296</c:v>
                </c:pt>
                <c:pt idx="2">
                  <c:v>7485</c:v>
                </c:pt>
                <c:pt idx="3">
                  <c:v>6827</c:v>
                </c:pt>
                <c:pt idx="4">
                  <c:v>6889</c:v>
                </c:pt>
                <c:pt idx="5">
                  <c:v>6989</c:v>
                </c:pt>
                <c:pt idx="6">
                  <c:v>6983</c:v>
                </c:pt>
                <c:pt idx="7">
                  <c:v>7163</c:v>
                </c:pt>
                <c:pt idx="8">
                  <c:v>6607</c:v>
                </c:pt>
                <c:pt idx="9">
                  <c:v>7229</c:v>
                </c:pt>
                <c:pt idx="10">
                  <c:v>7759</c:v>
                </c:pt>
                <c:pt idx="11">
                  <c:v>8469</c:v>
                </c:pt>
                <c:pt idx="12">
                  <c:v>8662</c:v>
                </c:pt>
                <c:pt idx="13">
                  <c:v>7107</c:v>
                </c:pt>
                <c:pt idx="14">
                  <c:v>8143</c:v>
                </c:pt>
                <c:pt idx="15">
                  <c:v>7309</c:v>
                </c:pt>
                <c:pt idx="16">
                  <c:v>7571</c:v>
                </c:pt>
                <c:pt idx="17">
                  <c:v>7620</c:v>
                </c:pt>
                <c:pt idx="18">
                  <c:v>7629</c:v>
                </c:pt>
                <c:pt idx="19">
                  <c:v>7045</c:v>
                </c:pt>
                <c:pt idx="20">
                  <c:v>7211</c:v>
                </c:pt>
                <c:pt idx="21">
                  <c:v>7493</c:v>
                </c:pt>
                <c:pt idx="22">
                  <c:v>7765</c:v>
                </c:pt>
                <c:pt idx="23">
                  <c:v>7064</c:v>
                </c:pt>
                <c:pt idx="24">
                  <c:v>6959</c:v>
                </c:pt>
                <c:pt idx="25">
                  <c:v>7153</c:v>
                </c:pt>
                <c:pt idx="26">
                  <c:v>7586</c:v>
                </c:pt>
                <c:pt idx="27">
                  <c:v>6794</c:v>
                </c:pt>
                <c:pt idx="28">
                  <c:v>6850</c:v>
                </c:pt>
                <c:pt idx="29">
                  <c:v>6850</c:v>
                </c:pt>
                <c:pt idx="30">
                  <c:v>6773</c:v>
                </c:pt>
                <c:pt idx="31">
                  <c:v>6898</c:v>
                </c:pt>
                <c:pt idx="32">
                  <c:v>7117</c:v>
                </c:pt>
                <c:pt idx="33">
                  <c:v>7603</c:v>
                </c:pt>
                <c:pt idx="34">
                  <c:v>8589</c:v>
                </c:pt>
                <c:pt idx="35">
                  <c:v>7654</c:v>
                </c:pt>
                <c:pt idx="36">
                  <c:v>8698</c:v>
                </c:pt>
                <c:pt idx="37">
                  <c:v>7474</c:v>
                </c:pt>
                <c:pt idx="38">
                  <c:v>8013</c:v>
                </c:pt>
                <c:pt idx="39">
                  <c:v>7276</c:v>
                </c:pt>
                <c:pt idx="40">
                  <c:v>7688</c:v>
                </c:pt>
                <c:pt idx="41">
                  <c:v>7079</c:v>
                </c:pt>
                <c:pt idx="42">
                  <c:v>7156</c:v>
                </c:pt>
                <c:pt idx="43">
                  <c:v>7883</c:v>
                </c:pt>
                <c:pt idx="44">
                  <c:v>7091</c:v>
                </c:pt>
                <c:pt idx="45">
                  <c:v>7901</c:v>
                </c:pt>
                <c:pt idx="46">
                  <c:v>8326</c:v>
                </c:pt>
                <c:pt idx="47">
                  <c:v>8730</c:v>
                </c:pt>
                <c:pt idx="48">
                  <c:v>8698</c:v>
                </c:pt>
                <c:pt idx="49">
                  <c:v>7639</c:v>
                </c:pt>
                <c:pt idx="50">
                  <c:v>8639</c:v>
                </c:pt>
                <c:pt idx="51">
                  <c:v>7532</c:v>
                </c:pt>
                <c:pt idx="52">
                  <c:v>7328</c:v>
                </c:pt>
                <c:pt idx="53">
                  <c:v>7511</c:v>
                </c:pt>
                <c:pt idx="54">
                  <c:v>7093</c:v>
                </c:pt>
                <c:pt idx="55">
                  <c:v>7244</c:v>
                </c:pt>
                <c:pt idx="56">
                  <c:v>6880</c:v>
                </c:pt>
                <c:pt idx="57">
                  <c:v>7958</c:v>
                </c:pt>
                <c:pt idx="58">
                  <c:v>8765</c:v>
                </c:pt>
                <c:pt idx="59">
                  <c:v>8105</c:v>
                </c:pt>
                <c:pt idx="60">
                  <c:v>8462</c:v>
                </c:pt>
                <c:pt idx="61">
                  <c:v>7757</c:v>
                </c:pt>
                <c:pt idx="62">
                  <c:v>7571</c:v>
                </c:pt>
                <c:pt idx="63">
                  <c:v>7109</c:v>
                </c:pt>
                <c:pt idx="64">
                  <c:v>6830</c:v>
                </c:pt>
                <c:pt idx="65">
                  <c:v>6527</c:v>
                </c:pt>
                <c:pt idx="66">
                  <c:v>6604</c:v>
                </c:pt>
                <c:pt idx="67">
                  <c:v>6590</c:v>
                </c:pt>
                <c:pt idx="68">
                  <c:v>6686</c:v>
                </c:pt>
                <c:pt idx="69">
                  <c:v>7464</c:v>
                </c:pt>
                <c:pt idx="70">
                  <c:v>8018</c:v>
                </c:pt>
                <c:pt idx="71">
                  <c:v>7604</c:v>
                </c:pt>
                <c:pt idx="72">
                  <c:v>7910</c:v>
                </c:pt>
                <c:pt idx="73">
                  <c:v>6767</c:v>
                </c:pt>
                <c:pt idx="74">
                  <c:v>6720</c:v>
                </c:pt>
                <c:pt idx="75">
                  <c:v>5911</c:v>
                </c:pt>
                <c:pt idx="76">
                  <c:v>5832</c:v>
                </c:pt>
                <c:pt idx="77">
                  <c:v>5391</c:v>
                </c:pt>
                <c:pt idx="78">
                  <c:v>5701</c:v>
                </c:pt>
                <c:pt idx="79">
                  <c:v>5893</c:v>
                </c:pt>
                <c:pt idx="80">
                  <c:v>5767</c:v>
                </c:pt>
                <c:pt idx="81">
                  <c:v>6483</c:v>
                </c:pt>
                <c:pt idx="82">
                  <c:v>6873</c:v>
                </c:pt>
                <c:pt idx="83">
                  <c:v>6805</c:v>
                </c:pt>
                <c:pt idx="84">
                  <c:v>6521</c:v>
                </c:pt>
                <c:pt idx="85">
                  <c:v>5974</c:v>
                </c:pt>
                <c:pt idx="86">
                  <c:v>6336</c:v>
                </c:pt>
                <c:pt idx="87">
                  <c:v>5437</c:v>
                </c:pt>
                <c:pt idx="88">
                  <c:v>5559</c:v>
                </c:pt>
                <c:pt idx="89">
                  <c:v>5289</c:v>
                </c:pt>
                <c:pt idx="90">
                  <c:v>5400</c:v>
                </c:pt>
                <c:pt idx="91">
                  <c:v>5372</c:v>
                </c:pt>
                <c:pt idx="92">
                  <c:v>5419</c:v>
                </c:pt>
                <c:pt idx="93">
                  <c:v>5941</c:v>
                </c:pt>
                <c:pt idx="94">
                  <c:v>6783</c:v>
                </c:pt>
                <c:pt idx="95">
                  <c:v>6458</c:v>
                </c:pt>
                <c:pt idx="96">
                  <c:v>6302</c:v>
                </c:pt>
                <c:pt idx="97">
                  <c:v>5841</c:v>
                </c:pt>
                <c:pt idx="98">
                  <c:v>5804</c:v>
                </c:pt>
                <c:pt idx="99">
                  <c:v>5335</c:v>
                </c:pt>
                <c:pt idx="100">
                  <c:v>5404</c:v>
                </c:pt>
                <c:pt idx="101">
                  <c:v>5381</c:v>
                </c:pt>
                <c:pt idx="102">
                  <c:v>5387</c:v>
                </c:pt>
                <c:pt idx="103">
                  <c:v>5406</c:v>
                </c:pt>
                <c:pt idx="104">
                  <c:v>5280</c:v>
                </c:pt>
                <c:pt idx="105">
                  <c:v>5475</c:v>
                </c:pt>
                <c:pt idx="106">
                  <c:v>6066</c:v>
                </c:pt>
                <c:pt idx="107">
                  <c:v>6604</c:v>
                </c:pt>
              </c:numCache>
            </c:numRef>
          </c:xVal>
          <c:yVal>
            <c:numRef>
              <c:f>Regression!$H$2:$H$109</c:f>
              <c:numCache>
                <c:formatCode>General</c:formatCode>
                <c:ptCount val="108"/>
                <c:pt idx="0">
                  <c:v>51461</c:v>
                </c:pt>
                <c:pt idx="1">
                  <c:v>53832</c:v>
                </c:pt>
                <c:pt idx="2">
                  <c:v>50014</c:v>
                </c:pt>
                <c:pt idx="3">
                  <c:v>52480</c:v>
                </c:pt>
                <c:pt idx="4">
                  <c:v>53707</c:v>
                </c:pt>
                <c:pt idx="5">
                  <c:v>48965</c:v>
                </c:pt>
                <c:pt idx="6">
                  <c:v>44580</c:v>
                </c:pt>
                <c:pt idx="7">
                  <c:v>40160</c:v>
                </c:pt>
                <c:pt idx="8">
                  <c:v>34534</c:v>
                </c:pt>
                <c:pt idx="9">
                  <c:v>35822</c:v>
                </c:pt>
                <c:pt idx="10">
                  <c:v>28740</c:v>
                </c:pt>
                <c:pt idx="11">
                  <c:v>31851</c:v>
                </c:pt>
                <c:pt idx="12">
                  <c:v>22242</c:v>
                </c:pt>
                <c:pt idx="13">
                  <c:v>22378</c:v>
                </c:pt>
                <c:pt idx="14">
                  <c:v>28958</c:v>
                </c:pt>
                <c:pt idx="15">
                  <c:v>31111</c:v>
                </c:pt>
                <c:pt idx="16">
                  <c:v>36274</c:v>
                </c:pt>
                <c:pt idx="17">
                  <c:v>42760</c:v>
                </c:pt>
                <c:pt idx="18">
                  <c:v>52545</c:v>
                </c:pt>
                <c:pt idx="19">
                  <c:v>49219</c:v>
                </c:pt>
                <c:pt idx="20">
                  <c:v>50318</c:v>
                </c:pt>
                <c:pt idx="21">
                  <c:v>54953</c:v>
                </c:pt>
                <c:pt idx="22">
                  <c:v>51675</c:v>
                </c:pt>
                <c:pt idx="23">
                  <c:v>64459</c:v>
                </c:pt>
                <c:pt idx="24">
                  <c:v>34067</c:v>
                </c:pt>
                <c:pt idx="25">
                  <c:v>38023</c:v>
                </c:pt>
                <c:pt idx="26">
                  <c:v>44487</c:v>
                </c:pt>
                <c:pt idx="27">
                  <c:v>44434</c:v>
                </c:pt>
                <c:pt idx="28">
                  <c:v>44515</c:v>
                </c:pt>
                <c:pt idx="29">
                  <c:v>54289</c:v>
                </c:pt>
                <c:pt idx="30">
                  <c:v>58555</c:v>
                </c:pt>
                <c:pt idx="31">
                  <c:v>53477</c:v>
                </c:pt>
                <c:pt idx="32">
                  <c:v>50395</c:v>
                </c:pt>
                <c:pt idx="33">
                  <c:v>49662</c:v>
                </c:pt>
                <c:pt idx="34">
                  <c:v>47959</c:v>
                </c:pt>
                <c:pt idx="35">
                  <c:v>47823</c:v>
                </c:pt>
                <c:pt idx="36">
                  <c:v>34048</c:v>
                </c:pt>
                <c:pt idx="37">
                  <c:v>34838</c:v>
                </c:pt>
                <c:pt idx="38">
                  <c:v>40719</c:v>
                </c:pt>
                <c:pt idx="39">
                  <c:v>43431</c:v>
                </c:pt>
                <c:pt idx="40">
                  <c:v>41353</c:v>
                </c:pt>
                <c:pt idx="41">
                  <c:v>48971</c:v>
                </c:pt>
                <c:pt idx="42">
                  <c:v>54040</c:v>
                </c:pt>
                <c:pt idx="43">
                  <c:v>55412</c:v>
                </c:pt>
                <c:pt idx="44">
                  <c:v>54726</c:v>
                </c:pt>
                <c:pt idx="45">
                  <c:v>49349</c:v>
                </c:pt>
                <c:pt idx="46">
                  <c:v>50738</c:v>
                </c:pt>
                <c:pt idx="47">
                  <c:v>53378</c:v>
                </c:pt>
                <c:pt idx="48">
                  <c:v>38991</c:v>
                </c:pt>
                <c:pt idx="49">
                  <c:v>39820</c:v>
                </c:pt>
                <c:pt idx="50">
                  <c:v>54431</c:v>
                </c:pt>
                <c:pt idx="51">
                  <c:v>36927</c:v>
                </c:pt>
                <c:pt idx="52">
                  <c:v>45371</c:v>
                </c:pt>
                <c:pt idx="53">
                  <c:v>50541</c:v>
                </c:pt>
                <c:pt idx="54">
                  <c:v>52615</c:v>
                </c:pt>
                <c:pt idx="55">
                  <c:v>56536</c:v>
                </c:pt>
                <c:pt idx="56">
                  <c:v>47313</c:v>
                </c:pt>
                <c:pt idx="57">
                  <c:v>50666</c:v>
                </c:pt>
                <c:pt idx="58">
                  <c:v>53929</c:v>
                </c:pt>
                <c:pt idx="59">
                  <c:v>47945</c:v>
                </c:pt>
                <c:pt idx="60">
                  <c:v>39477</c:v>
                </c:pt>
                <c:pt idx="61">
                  <c:v>39848</c:v>
                </c:pt>
                <c:pt idx="62">
                  <c:v>46678</c:v>
                </c:pt>
                <c:pt idx="63">
                  <c:v>44490</c:v>
                </c:pt>
                <c:pt idx="64">
                  <c:v>56133</c:v>
                </c:pt>
                <c:pt idx="65">
                  <c:v>56138</c:v>
                </c:pt>
                <c:pt idx="66">
                  <c:v>65271</c:v>
                </c:pt>
                <c:pt idx="67">
                  <c:v>68990</c:v>
                </c:pt>
                <c:pt idx="68">
                  <c:v>62128</c:v>
                </c:pt>
                <c:pt idx="69">
                  <c:v>67650</c:v>
                </c:pt>
                <c:pt idx="70">
                  <c:v>71884</c:v>
                </c:pt>
                <c:pt idx="71">
                  <c:v>68696</c:v>
                </c:pt>
                <c:pt idx="72">
                  <c:v>59568</c:v>
                </c:pt>
                <c:pt idx="73">
                  <c:v>57645</c:v>
                </c:pt>
                <c:pt idx="74">
                  <c:v>59558</c:v>
                </c:pt>
                <c:pt idx="75">
                  <c:v>61570</c:v>
                </c:pt>
                <c:pt idx="76">
                  <c:v>65719</c:v>
                </c:pt>
                <c:pt idx="77">
                  <c:v>68633</c:v>
                </c:pt>
                <c:pt idx="78">
                  <c:v>72812</c:v>
                </c:pt>
                <c:pt idx="79">
                  <c:v>73870</c:v>
                </c:pt>
                <c:pt idx="80">
                  <c:v>67642</c:v>
                </c:pt>
                <c:pt idx="81">
                  <c:v>72234</c:v>
                </c:pt>
                <c:pt idx="82">
                  <c:v>61284</c:v>
                </c:pt>
                <c:pt idx="83">
                  <c:v>65590</c:v>
                </c:pt>
                <c:pt idx="84">
                  <c:v>50914</c:v>
                </c:pt>
                <c:pt idx="85">
                  <c:v>50616</c:v>
                </c:pt>
                <c:pt idx="86">
                  <c:v>57058</c:v>
                </c:pt>
                <c:pt idx="87">
                  <c:v>54602</c:v>
                </c:pt>
                <c:pt idx="88">
                  <c:v>61003</c:v>
                </c:pt>
                <c:pt idx="89">
                  <c:v>71022</c:v>
                </c:pt>
                <c:pt idx="90">
                  <c:v>77860</c:v>
                </c:pt>
                <c:pt idx="91">
                  <c:v>70037</c:v>
                </c:pt>
                <c:pt idx="92">
                  <c:v>70028</c:v>
                </c:pt>
                <c:pt idx="93">
                  <c:v>74213</c:v>
                </c:pt>
                <c:pt idx="94">
                  <c:v>66359</c:v>
                </c:pt>
                <c:pt idx="95">
                  <c:v>66746</c:v>
                </c:pt>
                <c:pt idx="96">
                  <c:v>51950</c:v>
                </c:pt>
                <c:pt idx="97">
                  <c:v>55385</c:v>
                </c:pt>
                <c:pt idx="98">
                  <c:v>107610</c:v>
                </c:pt>
                <c:pt idx="99">
                  <c:v>41972</c:v>
                </c:pt>
                <c:pt idx="100">
                  <c:v>48164</c:v>
                </c:pt>
                <c:pt idx="101">
                  <c:v>60519</c:v>
                </c:pt>
                <c:pt idx="102">
                  <c:v>63760</c:v>
                </c:pt>
                <c:pt idx="103">
                  <c:v>63514</c:v>
                </c:pt>
                <c:pt idx="104">
                  <c:v>60962</c:v>
                </c:pt>
                <c:pt idx="105">
                  <c:v>58015</c:v>
                </c:pt>
                <c:pt idx="106">
                  <c:v>59633</c:v>
                </c:pt>
                <c:pt idx="107">
                  <c:v>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9-40D7-A8B5-1B4D67B09157}"/>
            </c:ext>
          </c:extLst>
        </c:ser>
        <c:ser>
          <c:idx val="1"/>
          <c:order val="1"/>
          <c:tx>
            <c:v>Predicted Number of Houses Sold</c:v>
          </c:tx>
          <c:spPr>
            <a:ln w="19050">
              <a:noFill/>
            </a:ln>
          </c:spPr>
          <c:xVal>
            <c:numRef>
              <c:f>Regression!$G$2:$G$109</c:f>
              <c:numCache>
                <c:formatCode>General</c:formatCode>
                <c:ptCount val="108"/>
                <c:pt idx="0">
                  <c:v>8396</c:v>
                </c:pt>
                <c:pt idx="1">
                  <c:v>7296</c:v>
                </c:pt>
                <c:pt idx="2">
                  <c:v>7485</c:v>
                </c:pt>
                <c:pt idx="3">
                  <c:v>6827</c:v>
                </c:pt>
                <c:pt idx="4">
                  <c:v>6889</c:v>
                </c:pt>
                <c:pt idx="5">
                  <c:v>6989</c:v>
                </c:pt>
                <c:pt idx="6">
                  <c:v>6983</c:v>
                </c:pt>
                <c:pt idx="7">
                  <c:v>7163</c:v>
                </c:pt>
                <c:pt idx="8">
                  <c:v>6607</c:v>
                </c:pt>
                <c:pt idx="9">
                  <c:v>7229</c:v>
                </c:pt>
                <c:pt idx="10">
                  <c:v>7759</c:v>
                </c:pt>
                <c:pt idx="11">
                  <c:v>8469</c:v>
                </c:pt>
                <c:pt idx="12">
                  <c:v>8662</c:v>
                </c:pt>
                <c:pt idx="13">
                  <c:v>7107</c:v>
                </c:pt>
                <c:pt idx="14">
                  <c:v>8143</c:v>
                </c:pt>
                <c:pt idx="15">
                  <c:v>7309</c:v>
                </c:pt>
                <c:pt idx="16">
                  <c:v>7571</c:v>
                </c:pt>
                <c:pt idx="17">
                  <c:v>7620</c:v>
                </c:pt>
                <c:pt idx="18">
                  <c:v>7629</c:v>
                </c:pt>
                <c:pt idx="19">
                  <c:v>7045</c:v>
                </c:pt>
                <c:pt idx="20">
                  <c:v>7211</c:v>
                </c:pt>
                <c:pt idx="21">
                  <c:v>7493</c:v>
                </c:pt>
                <c:pt idx="22">
                  <c:v>7765</c:v>
                </c:pt>
                <c:pt idx="23">
                  <c:v>7064</c:v>
                </c:pt>
                <c:pt idx="24">
                  <c:v>6959</c:v>
                </c:pt>
                <c:pt idx="25">
                  <c:v>7153</c:v>
                </c:pt>
                <c:pt idx="26">
                  <c:v>7586</c:v>
                </c:pt>
                <c:pt idx="27">
                  <c:v>6794</c:v>
                </c:pt>
                <c:pt idx="28">
                  <c:v>6850</c:v>
                </c:pt>
                <c:pt idx="29">
                  <c:v>6850</c:v>
                </c:pt>
                <c:pt idx="30">
                  <c:v>6773</c:v>
                </c:pt>
                <c:pt idx="31">
                  <c:v>6898</c:v>
                </c:pt>
                <c:pt idx="32">
                  <c:v>7117</c:v>
                </c:pt>
                <c:pt idx="33">
                  <c:v>7603</c:v>
                </c:pt>
                <c:pt idx="34">
                  <c:v>8589</c:v>
                </c:pt>
                <c:pt idx="35">
                  <c:v>7654</c:v>
                </c:pt>
                <c:pt idx="36">
                  <c:v>8698</c:v>
                </c:pt>
                <c:pt idx="37">
                  <c:v>7474</c:v>
                </c:pt>
                <c:pt idx="38">
                  <c:v>8013</c:v>
                </c:pt>
                <c:pt idx="39">
                  <c:v>7276</c:v>
                </c:pt>
                <c:pt idx="40">
                  <c:v>7688</c:v>
                </c:pt>
                <c:pt idx="41">
                  <c:v>7079</c:v>
                </c:pt>
                <c:pt idx="42">
                  <c:v>7156</c:v>
                </c:pt>
                <c:pt idx="43">
                  <c:v>7883</c:v>
                </c:pt>
                <c:pt idx="44">
                  <c:v>7091</c:v>
                </c:pt>
                <c:pt idx="45">
                  <c:v>7901</c:v>
                </c:pt>
                <c:pt idx="46">
                  <c:v>8326</c:v>
                </c:pt>
                <c:pt idx="47">
                  <c:v>8730</c:v>
                </c:pt>
                <c:pt idx="48">
                  <c:v>8698</c:v>
                </c:pt>
                <c:pt idx="49">
                  <c:v>7639</c:v>
                </c:pt>
                <c:pt idx="50">
                  <c:v>8639</c:v>
                </c:pt>
                <c:pt idx="51">
                  <c:v>7532</c:v>
                </c:pt>
                <c:pt idx="52">
                  <c:v>7328</c:v>
                </c:pt>
                <c:pt idx="53">
                  <c:v>7511</c:v>
                </c:pt>
                <c:pt idx="54">
                  <c:v>7093</c:v>
                </c:pt>
                <c:pt idx="55">
                  <c:v>7244</c:v>
                </c:pt>
                <c:pt idx="56">
                  <c:v>6880</c:v>
                </c:pt>
                <c:pt idx="57">
                  <c:v>7958</c:v>
                </c:pt>
                <c:pt idx="58">
                  <c:v>8765</c:v>
                </c:pt>
                <c:pt idx="59">
                  <c:v>8105</c:v>
                </c:pt>
                <c:pt idx="60">
                  <c:v>8462</c:v>
                </c:pt>
                <c:pt idx="61">
                  <c:v>7757</c:v>
                </c:pt>
                <c:pt idx="62">
                  <c:v>7571</c:v>
                </c:pt>
                <c:pt idx="63">
                  <c:v>7109</c:v>
                </c:pt>
                <c:pt idx="64">
                  <c:v>6830</c:v>
                </c:pt>
                <c:pt idx="65">
                  <c:v>6527</c:v>
                </c:pt>
                <c:pt idx="66">
                  <c:v>6604</c:v>
                </c:pt>
                <c:pt idx="67">
                  <c:v>6590</c:v>
                </c:pt>
                <c:pt idx="68">
                  <c:v>6686</c:v>
                </c:pt>
                <c:pt idx="69">
                  <c:v>7464</c:v>
                </c:pt>
                <c:pt idx="70">
                  <c:v>8018</c:v>
                </c:pt>
                <c:pt idx="71">
                  <c:v>7604</c:v>
                </c:pt>
                <c:pt idx="72">
                  <c:v>7910</c:v>
                </c:pt>
                <c:pt idx="73">
                  <c:v>6767</c:v>
                </c:pt>
                <c:pt idx="74">
                  <c:v>6720</c:v>
                </c:pt>
                <c:pt idx="75">
                  <c:v>5911</c:v>
                </c:pt>
                <c:pt idx="76">
                  <c:v>5832</c:v>
                </c:pt>
                <c:pt idx="77">
                  <c:v>5391</c:v>
                </c:pt>
                <c:pt idx="78">
                  <c:v>5701</c:v>
                </c:pt>
                <c:pt idx="79">
                  <c:v>5893</c:v>
                </c:pt>
                <c:pt idx="80">
                  <c:v>5767</c:v>
                </c:pt>
                <c:pt idx="81">
                  <c:v>6483</c:v>
                </c:pt>
                <c:pt idx="82">
                  <c:v>6873</c:v>
                </c:pt>
                <c:pt idx="83">
                  <c:v>6805</c:v>
                </c:pt>
                <c:pt idx="84">
                  <c:v>6521</c:v>
                </c:pt>
                <c:pt idx="85">
                  <c:v>5974</c:v>
                </c:pt>
                <c:pt idx="86">
                  <c:v>6336</c:v>
                </c:pt>
                <c:pt idx="87">
                  <c:v>5437</c:v>
                </c:pt>
                <c:pt idx="88">
                  <c:v>5559</c:v>
                </c:pt>
                <c:pt idx="89">
                  <c:v>5289</c:v>
                </c:pt>
                <c:pt idx="90">
                  <c:v>5400</c:v>
                </c:pt>
                <c:pt idx="91">
                  <c:v>5372</c:v>
                </c:pt>
                <c:pt idx="92">
                  <c:v>5419</c:v>
                </c:pt>
                <c:pt idx="93">
                  <c:v>5941</c:v>
                </c:pt>
                <c:pt idx="94">
                  <c:v>6783</c:v>
                </c:pt>
                <c:pt idx="95">
                  <c:v>6458</c:v>
                </c:pt>
                <c:pt idx="96">
                  <c:v>6302</c:v>
                </c:pt>
                <c:pt idx="97">
                  <c:v>5841</c:v>
                </c:pt>
                <c:pt idx="98">
                  <c:v>5804</c:v>
                </c:pt>
                <c:pt idx="99">
                  <c:v>5335</c:v>
                </c:pt>
                <c:pt idx="100">
                  <c:v>5404</c:v>
                </c:pt>
                <c:pt idx="101">
                  <c:v>5381</c:v>
                </c:pt>
                <c:pt idx="102">
                  <c:v>5387</c:v>
                </c:pt>
                <c:pt idx="103">
                  <c:v>5406</c:v>
                </c:pt>
                <c:pt idx="104">
                  <c:v>5280</c:v>
                </c:pt>
                <c:pt idx="105">
                  <c:v>5475</c:v>
                </c:pt>
                <c:pt idx="106">
                  <c:v>6066</c:v>
                </c:pt>
                <c:pt idx="107">
                  <c:v>6604</c:v>
                </c:pt>
              </c:numCache>
            </c:numRef>
          </c:xVal>
          <c:yVal>
            <c:numRef>
              <c:f>Regression!$K$32:$K$139</c:f>
              <c:numCache>
                <c:formatCode>General</c:formatCode>
                <c:ptCount val="108"/>
                <c:pt idx="0">
                  <c:v>35477.16001282035</c:v>
                </c:pt>
                <c:pt idx="1">
                  <c:v>42116.911596510123</c:v>
                </c:pt>
                <c:pt idx="2">
                  <c:v>41812.423084276772</c:v>
                </c:pt>
                <c:pt idx="3">
                  <c:v>41605.272174591126</c:v>
                </c:pt>
                <c:pt idx="4">
                  <c:v>43994.775214472647</c:v>
                </c:pt>
                <c:pt idx="5">
                  <c:v>44914.746079599689</c:v>
                </c:pt>
                <c:pt idx="6">
                  <c:v>48694.356752035077</c:v>
                </c:pt>
                <c:pt idx="7">
                  <c:v>45694.857169238981</c:v>
                </c:pt>
                <c:pt idx="8">
                  <c:v>47040.123737578324</c:v>
                </c:pt>
                <c:pt idx="9">
                  <c:v>47846.670118440357</c:v>
                </c:pt>
                <c:pt idx="10">
                  <c:v>44715.583074626004</c:v>
                </c:pt>
                <c:pt idx="11">
                  <c:v>42070.291159727094</c:v>
                </c:pt>
                <c:pt idx="12">
                  <c:v>39153.457571887026</c:v>
                </c:pt>
                <c:pt idx="13">
                  <c:v>42703.590184658882</c:v>
                </c:pt>
                <c:pt idx="14">
                  <c:v>41494.308848636472</c:v>
                </c:pt>
                <c:pt idx="15">
                  <c:v>39226.195178386195</c:v>
                </c:pt>
                <c:pt idx="16">
                  <c:v>40005.383374220699</c:v>
                </c:pt>
                <c:pt idx="17">
                  <c:v>45239.384917020841</c:v>
                </c:pt>
                <c:pt idx="18">
                  <c:v>47287.112068702278</c:v>
                </c:pt>
                <c:pt idx="19">
                  <c:v>46540.004576840074</c:v>
                </c:pt>
                <c:pt idx="20">
                  <c:v>45509.432257316032</c:v>
                </c:pt>
                <c:pt idx="21">
                  <c:v>46882.747618418674</c:v>
                </c:pt>
                <c:pt idx="22">
                  <c:v>47174.621347339955</c:v>
                </c:pt>
                <c:pt idx="23">
                  <c:v>46516.735850481469</c:v>
                </c:pt>
                <c:pt idx="24">
                  <c:v>44421.536054351476</c:v>
                </c:pt>
                <c:pt idx="25">
                  <c:v>44421.674514053753</c:v>
                </c:pt>
                <c:pt idx="26">
                  <c:v>41635.427266648025</c:v>
                </c:pt>
                <c:pt idx="27">
                  <c:v>44577.390939029356</c:v>
                </c:pt>
                <c:pt idx="28">
                  <c:v>44548.176261002074</c:v>
                </c:pt>
                <c:pt idx="29">
                  <c:v>47763.158328273836</c:v>
                </c:pt>
                <c:pt idx="30">
                  <c:v>51269.851561836083</c:v>
                </c:pt>
                <c:pt idx="31">
                  <c:v>50508.698983940762</c:v>
                </c:pt>
                <c:pt idx="32">
                  <c:v>49928.694634559943</c:v>
                </c:pt>
                <c:pt idx="33">
                  <c:v>48760.763721542564</c:v>
                </c:pt>
                <c:pt idx="34">
                  <c:v>43204.141936078115</c:v>
                </c:pt>
                <c:pt idx="35">
                  <c:v>40858.622942943679</c:v>
                </c:pt>
                <c:pt idx="36">
                  <c:v>39294.447605055117</c:v>
                </c:pt>
                <c:pt idx="37">
                  <c:v>42792.061758825977</c:v>
                </c:pt>
                <c:pt idx="38">
                  <c:v>43961.065412561671</c:v>
                </c:pt>
                <c:pt idx="39">
                  <c:v>42538.885857776011</c:v>
                </c:pt>
                <c:pt idx="40">
                  <c:v>43139.289385410601</c:v>
                </c:pt>
                <c:pt idx="41">
                  <c:v>48170.332397597114</c:v>
                </c:pt>
                <c:pt idx="42">
                  <c:v>46678.401899032593</c:v>
                </c:pt>
                <c:pt idx="43">
                  <c:v>40267.960218861845</c:v>
                </c:pt>
                <c:pt idx="44">
                  <c:v>50054.646194956687</c:v>
                </c:pt>
                <c:pt idx="45">
                  <c:v>49203.587317047059</c:v>
                </c:pt>
                <c:pt idx="46">
                  <c:v>47024.257184190974</c:v>
                </c:pt>
                <c:pt idx="47">
                  <c:v>46091.41064931525</c:v>
                </c:pt>
                <c:pt idx="48">
                  <c:v>47498.047194478742</c:v>
                </c:pt>
                <c:pt idx="49">
                  <c:v>47623.587878839418</c:v>
                </c:pt>
                <c:pt idx="50">
                  <c:v>49857.71059202707</c:v>
                </c:pt>
                <c:pt idx="51">
                  <c:v>48523.502340569001</c:v>
                </c:pt>
                <c:pt idx="52">
                  <c:v>53886.059889583114</c:v>
                </c:pt>
                <c:pt idx="53">
                  <c:v>51731.903041398706</c:v>
                </c:pt>
                <c:pt idx="54">
                  <c:v>55308.94741591093</c:v>
                </c:pt>
                <c:pt idx="55">
                  <c:v>55588.608783906988</c:v>
                </c:pt>
                <c:pt idx="56">
                  <c:v>53561.131633659272</c:v>
                </c:pt>
                <c:pt idx="57">
                  <c:v>54647.082634772218</c:v>
                </c:pt>
                <c:pt idx="58">
                  <c:v>49664.335697537201</c:v>
                </c:pt>
                <c:pt idx="59">
                  <c:v>50733.843925408713</c:v>
                </c:pt>
                <c:pt idx="60">
                  <c:v>51281.504112029113</c:v>
                </c:pt>
                <c:pt idx="61">
                  <c:v>52952.023297101143</c:v>
                </c:pt>
                <c:pt idx="62">
                  <c:v>53902.336013295651</c:v>
                </c:pt>
                <c:pt idx="63">
                  <c:v>54795.063407963353</c:v>
                </c:pt>
                <c:pt idx="64">
                  <c:v>54889.150247862315</c:v>
                </c:pt>
                <c:pt idx="65">
                  <c:v>56267.288463396202</c:v>
                </c:pt>
                <c:pt idx="66">
                  <c:v>57153.706153777253</c:v>
                </c:pt>
                <c:pt idx="67">
                  <c:v>55428.594253818352</c:v>
                </c:pt>
                <c:pt idx="68">
                  <c:v>55279.840729203577</c:v>
                </c:pt>
                <c:pt idx="69">
                  <c:v>58321.997954035221</c:v>
                </c:pt>
                <c:pt idx="70">
                  <c:v>54117.705032935002</c:v>
                </c:pt>
                <c:pt idx="71">
                  <c:v>54292.638336532182</c:v>
                </c:pt>
                <c:pt idx="72">
                  <c:v>53607.557807917736</c:v>
                </c:pt>
                <c:pt idx="73">
                  <c:v>55990.056128404249</c:v>
                </c:pt>
                <c:pt idx="74">
                  <c:v>61428.688974689016</c:v>
                </c:pt>
                <c:pt idx="75">
                  <c:v>61009.350337959288</c:v>
                </c:pt>
                <c:pt idx="76">
                  <c:v>62503.709798071592</c:v>
                </c:pt>
                <c:pt idx="77">
                  <c:v>63771.146733431902</c:v>
                </c:pt>
                <c:pt idx="78">
                  <c:v>65481.27786608148</c:v>
                </c:pt>
                <c:pt idx="79">
                  <c:v>61969.820439055336</c:v>
                </c:pt>
                <c:pt idx="80">
                  <c:v>62956.530522841182</c:v>
                </c:pt>
                <c:pt idx="81">
                  <c:v>61399.496585819739</c:v>
                </c:pt>
                <c:pt idx="82">
                  <c:v>60324.821963278897</c:v>
                </c:pt>
                <c:pt idx="83">
                  <c:v>59703.349108706621</c:v>
                </c:pt>
                <c:pt idx="84">
                  <c:v>61545.9656967068</c:v>
                </c:pt>
                <c:pt idx="85">
                  <c:v>60885.081975868772</c:v>
                </c:pt>
                <c:pt idx="86">
                  <c:v>62718.090664384334</c:v>
                </c:pt>
                <c:pt idx="87">
                  <c:v>62356.531475584037</c:v>
                </c:pt>
                <c:pt idx="88">
                  <c:v>65317.613379103306</c:v>
                </c:pt>
                <c:pt idx="89">
                  <c:v>67922.313067655923</c:v>
                </c:pt>
                <c:pt idx="90">
                  <c:v>66881.035763897613</c:v>
                </c:pt>
                <c:pt idx="91">
                  <c:v>64782.719909563639</c:v>
                </c:pt>
                <c:pt idx="92">
                  <c:v>65636.795977933871</c:v>
                </c:pt>
                <c:pt idx="93">
                  <c:v>66789.153245711481</c:v>
                </c:pt>
                <c:pt idx="94">
                  <c:v>63450.938535241694</c:v>
                </c:pt>
                <c:pt idx="95">
                  <c:v>63685.701699664656</c:v>
                </c:pt>
                <c:pt idx="96">
                  <c:v>62397.009321874866</c:v>
                </c:pt>
                <c:pt idx="97">
                  <c:v>63420.850171684113</c:v>
                </c:pt>
                <c:pt idx="98">
                  <c:v>65516.008069766285</c:v>
                </c:pt>
                <c:pt idx="99">
                  <c:v>67306.49383915207</c:v>
                </c:pt>
                <c:pt idx="100">
                  <c:v>67887.495910557394</c:v>
                </c:pt>
                <c:pt idx="101">
                  <c:v>67850.043150706479</c:v>
                </c:pt>
                <c:pt idx="102">
                  <c:v>69070.422520674547</c:v>
                </c:pt>
                <c:pt idx="103">
                  <c:v>67150.550612981373</c:v>
                </c:pt>
                <c:pt idx="104">
                  <c:v>67211.651351849432</c:v>
                </c:pt>
                <c:pt idx="105">
                  <c:v>67495.686828975216</c:v>
                </c:pt>
                <c:pt idx="106">
                  <c:v>65023.873212856488</c:v>
                </c:pt>
                <c:pt idx="107">
                  <c:v>61413.931328591527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9-40D7-A8B5-1B4D67B09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451632"/>
        <c:axId val="873531456"/>
      </c:scatterChart>
      <c:valAx>
        <c:axId val="86145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Burglary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3531456"/>
        <c:crosses val="autoZero"/>
        <c:crossBetween val="midCat"/>
      </c:valAx>
      <c:valAx>
        <c:axId val="873531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Number of Houses Sold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14516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238125</xdr:colOff>
      <xdr:row>2</xdr:row>
      <xdr:rowOff>180975</xdr:rowOff>
    </xdr:from>
    <xdr:to>
      <xdr:col>24</xdr:col>
      <xdr:colOff>238125</xdr:colOff>
      <xdr:row>12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21FCD25-514B-47EA-61EB-DCD07AFA4F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361950</xdr:colOff>
      <xdr:row>10</xdr:row>
      <xdr:rowOff>104775</xdr:rowOff>
    </xdr:from>
    <xdr:to>
      <xdr:col>27</xdr:col>
      <xdr:colOff>361950</xdr:colOff>
      <xdr:row>20</xdr:row>
      <xdr:rowOff>95250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07FF8B-1E8C-0278-6982-C2F19401F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333375</xdr:colOff>
      <xdr:row>0</xdr:row>
      <xdr:rowOff>142875</xdr:rowOff>
    </xdr:from>
    <xdr:to>
      <xdr:col>28</xdr:col>
      <xdr:colOff>333375</xdr:colOff>
      <xdr:row>10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BD3F0C2-EAD1-7705-87D7-03C52CA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9525</xdr:colOff>
      <xdr:row>22</xdr:row>
      <xdr:rowOff>9525</xdr:rowOff>
    </xdr:from>
    <xdr:to>
      <xdr:col>27</xdr:col>
      <xdr:colOff>9525</xdr:colOff>
      <xdr:row>32</xdr:row>
      <xdr:rowOff>28575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455916-DB8B-1E3E-5E1F-748770D2E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581025</xdr:colOff>
      <xdr:row>14</xdr:row>
      <xdr:rowOff>171450</xdr:rowOff>
    </xdr:from>
    <xdr:to>
      <xdr:col>35</xdr:col>
      <xdr:colOff>581025</xdr:colOff>
      <xdr:row>24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4CF80B6-C709-952F-6B23-92A0CEB22C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314325</xdr:colOff>
      <xdr:row>1</xdr:row>
      <xdr:rowOff>142875</xdr:rowOff>
    </xdr:from>
    <xdr:to>
      <xdr:col>32</xdr:col>
      <xdr:colOff>314325</xdr:colOff>
      <xdr:row>11</xdr:row>
      <xdr:rowOff>142875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9CB6A0A-378A-DB65-3167-88D68A2AC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9"/>
  <sheetViews>
    <sheetView workbookViewId="0">
      <selection activeCell="B37" sqref="B37"/>
    </sheetView>
  </sheetViews>
  <sheetFormatPr defaultRowHeight="15" x14ac:dyDescent="0.25"/>
  <cols>
    <col min="1" max="1" width="7.42578125" bestFit="1" customWidth="1"/>
    <col min="2" max="2" width="26.42578125" bestFit="1" customWidth="1"/>
    <col min="3" max="3" width="18" bestFit="1" customWidth="1"/>
    <col min="4" max="4" width="8.42578125" bestFit="1" customWidth="1"/>
    <col min="5" max="5" width="24.42578125" bestFit="1" customWidth="1"/>
    <col min="6" max="6" width="6" bestFit="1" customWidth="1"/>
    <col min="7" max="7" width="16.140625" bestFit="1" customWidth="1"/>
    <col min="8" max="8" width="8.28515625" bestFit="1" customWidth="1"/>
    <col min="9" max="9" width="22.140625" bestFit="1" customWidth="1"/>
    <col min="15" max="15" width="26.42578125" bestFit="1" customWidth="1"/>
    <col min="16" max="16" width="12.7109375" bestFit="1" customWidth="1"/>
    <col min="17" max="17" width="14.5703125" bestFit="1" customWidth="1"/>
    <col min="18" max="18" width="12.7109375" bestFit="1" customWidth="1"/>
    <col min="19" max="19" width="12" bestFit="1" customWidth="1"/>
    <col min="20" max="20" width="13.42578125" bestFit="1" customWidth="1"/>
    <col min="21" max="23" width="12.7109375" bestFit="1" customWidth="1"/>
  </cols>
  <sheetData>
    <row r="1" spans="1:26" x14ac:dyDescent="0.25">
      <c r="A1" s="2" t="s">
        <v>0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8</v>
      </c>
      <c r="O1" t="s">
        <v>9</v>
      </c>
    </row>
    <row r="2" spans="1:26" ht="15.75" thickBot="1" x14ac:dyDescent="0.3">
      <c r="A2" s="3">
        <v>39448</v>
      </c>
      <c r="B2" s="1">
        <v>12719</v>
      </c>
      <c r="C2" s="1">
        <v>24014</v>
      </c>
      <c r="D2" s="1">
        <v>2887</v>
      </c>
      <c r="E2" s="1">
        <v>789</v>
      </c>
      <c r="F2" s="1">
        <v>5230</v>
      </c>
      <c r="G2" s="1">
        <v>8061</v>
      </c>
      <c r="H2" s="1">
        <v>8396</v>
      </c>
      <c r="I2" s="4">
        <v>51461</v>
      </c>
    </row>
    <row r="3" spans="1:26" x14ac:dyDescent="0.25">
      <c r="A3" s="3">
        <v>39479</v>
      </c>
      <c r="B3" s="1">
        <v>12123</v>
      </c>
      <c r="C3" s="1">
        <v>22980</v>
      </c>
      <c r="D3" s="1">
        <v>2455</v>
      </c>
      <c r="E3" s="1">
        <v>749</v>
      </c>
      <c r="F3" s="1">
        <v>6071</v>
      </c>
      <c r="G3" s="1">
        <v>7677</v>
      </c>
      <c r="H3" s="1">
        <v>7296</v>
      </c>
      <c r="I3" s="4">
        <v>53832</v>
      </c>
      <c r="O3" s="7" t="s">
        <v>10</v>
      </c>
      <c r="P3" s="7"/>
    </row>
    <row r="4" spans="1:26" x14ac:dyDescent="0.25">
      <c r="A4" s="3">
        <v>39508</v>
      </c>
      <c r="B4" s="1">
        <v>13244</v>
      </c>
      <c r="C4" s="1">
        <v>23632</v>
      </c>
      <c r="D4" s="1">
        <v>2585</v>
      </c>
      <c r="E4" s="1">
        <v>810</v>
      </c>
      <c r="F4" s="1">
        <v>5769</v>
      </c>
      <c r="G4" s="1">
        <v>7818</v>
      </c>
      <c r="H4" s="1">
        <v>7485</v>
      </c>
      <c r="I4" s="4">
        <v>50014</v>
      </c>
      <c r="O4" t="s">
        <v>11</v>
      </c>
      <c r="P4">
        <v>0.69866830126563506</v>
      </c>
    </row>
    <row r="5" spans="1:26" x14ac:dyDescent="0.25">
      <c r="A5" s="3">
        <v>39539</v>
      </c>
      <c r="B5" s="1">
        <v>12590</v>
      </c>
      <c r="C5" s="1">
        <v>23660</v>
      </c>
      <c r="D5" s="1">
        <v>2498</v>
      </c>
      <c r="E5" s="1">
        <v>794</v>
      </c>
      <c r="F5" s="1">
        <v>5158</v>
      </c>
      <c r="G5" s="1">
        <v>8113</v>
      </c>
      <c r="H5" s="1">
        <v>6827</v>
      </c>
      <c r="I5" s="4">
        <v>52480</v>
      </c>
      <c r="O5" t="s">
        <v>12</v>
      </c>
      <c r="P5">
        <v>0.48813739519340821</v>
      </c>
    </row>
    <row r="6" spans="1:26" x14ac:dyDescent="0.25">
      <c r="A6" s="3">
        <v>39569</v>
      </c>
      <c r="B6" s="1">
        <v>14577</v>
      </c>
      <c r="C6" s="1">
        <v>23695</v>
      </c>
      <c r="D6" s="1">
        <v>2490</v>
      </c>
      <c r="E6" s="1">
        <v>795</v>
      </c>
      <c r="F6" s="1">
        <v>5868</v>
      </c>
      <c r="G6" s="1">
        <v>8273</v>
      </c>
      <c r="H6" s="1">
        <v>6889</v>
      </c>
      <c r="I6" s="4">
        <v>53707</v>
      </c>
      <c r="O6" t="s">
        <v>13</v>
      </c>
      <c r="P6">
        <v>0.4523070128569468</v>
      </c>
    </row>
    <row r="7" spans="1:26" x14ac:dyDescent="0.25">
      <c r="A7" s="3">
        <v>39600</v>
      </c>
      <c r="B7" s="1">
        <v>14751</v>
      </c>
      <c r="C7" s="1">
        <v>23794</v>
      </c>
      <c r="D7" s="1">
        <v>2448</v>
      </c>
      <c r="E7" s="1">
        <v>961</v>
      </c>
      <c r="F7" s="1">
        <v>5366</v>
      </c>
      <c r="G7" s="1">
        <v>7981</v>
      </c>
      <c r="H7" s="1">
        <v>6989</v>
      </c>
      <c r="I7" s="4">
        <v>48965</v>
      </c>
      <c r="O7" t="s">
        <v>14</v>
      </c>
      <c r="P7">
        <v>9685.5477406058744</v>
      </c>
    </row>
    <row r="8" spans="1:26" ht="15.75" thickBot="1" x14ac:dyDescent="0.3">
      <c r="A8" s="3">
        <v>39630</v>
      </c>
      <c r="B8" s="1">
        <v>15096</v>
      </c>
      <c r="C8" s="1">
        <v>24814</v>
      </c>
      <c r="D8" s="1">
        <v>2390</v>
      </c>
      <c r="E8" s="1">
        <v>909</v>
      </c>
      <c r="F8" s="1">
        <v>6062</v>
      </c>
      <c r="G8" s="1">
        <v>7872</v>
      </c>
      <c r="H8" s="1">
        <v>6983</v>
      </c>
      <c r="I8" s="4">
        <v>44580</v>
      </c>
      <c r="O8" s="5" t="s">
        <v>15</v>
      </c>
      <c r="P8" s="5">
        <v>108</v>
      </c>
    </row>
    <row r="9" spans="1:26" x14ac:dyDescent="0.25">
      <c r="A9" s="3">
        <v>39661</v>
      </c>
      <c r="B9" s="1">
        <v>13394</v>
      </c>
      <c r="C9" s="1">
        <v>22791</v>
      </c>
      <c r="D9" s="1">
        <v>2275</v>
      </c>
      <c r="E9" s="1">
        <v>889</v>
      </c>
      <c r="F9" s="1">
        <v>5971</v>
      </c>
      <c r="G9" s="1">
        <v>7476</v>
      </c>
      <c r="H9" s="1">
        <v>7163</v>
      </c>
      <c r="I9" s="4">
        <v>40160</v>
      </c>
    </row>
    <row r="10" spans="1:26" ht="15.75" thickBot="1" x14ac:dyDescent="0.3">
      <c r="A10" s="3">
        <v>39692</v>
      </c>
      <c r="B10" s="1">
        <v>12760</v>
      </c>
      <c r="C10" s="1">
        <v>22738</v>
      </c>
      <c r="D10" s="1">
        <v>2206</v>
      </c>
      <c r="E10" s="1">
        <v>921</v>
      </c>
      <c r="F10" s="1">
        <v>5815</v>
      </c>
      <c r="G10" s="1">
        <v>7367</v>
      </c>
      <c r="H10" s="1">
        <v>6607</v>
      </c>
      <c r="I10" s="4">
        <v>34534</v>
      </c>
      <c r="O10" t="s">
        <v>16</v>
      </c>
    </row>
    <row r="11" spans="1:26" x14ac:dyDescent="0.25">
      <c r="A11" s="3">
        <v>39722</v>
      </c>
      <c r="B11" s="1">
        <v>13389</v>
      </c>
      <c r="C11" s="1">
        <v>25478</v>
      </c>
      <c r="D11" s="1">
        <v>2520</v>
      </c>
      <c r="E11" s="1">
        <v>887</v>
      </c>
      <c r="F11" s="1">
        <v>6334</v>
      </c>
      <c r="G11" s="1">
        <v>7517</v>
      </c>
      <c r="H11" s="1">
        <v>7229</v>
      </c>
      <c r="I11" s="4">
        <v>35822</v>
      </c>
      <c r="O11" s="6"/>
      <c r="P11" s="6" t="s">
        <v>21</v>
      </c>
      <c r="Q11" s="6" t="s">
        <v>22</v>
      </c>
      <c r="R11" s="6" t="s">
        <v>23</v>
      </c>
      <c r="S11" s="6" t="s">
        <v>24</v>
      </c>
      <c r="T11" s="6" t="s">
        <v>25</v>
      </c>
    </row>
    <row r="12" spans="1:26" x14ac:dyDescent="0.25">
      <c r="A12" s="3">
        <v>39753</v>
      </c>
      <c r="B12" s="1">
        <v>13069</v>
      </c>
      <c r="C12" s="1">
        <v>24008</v>
      </c>
      <c r="D12" s="1">
        <v>2588</v>
      </c>
      <c r="E12" s="1">
        <v>889</v>
      </c>
      <c r="F12" s="1">
        <v>6034</v>
      </c>
      <c r="G12" s="1">
        <v>7048</v>
      </c>
      <c r="H12" s="1">
        <v>7759</v>
      </c>
      <c r="I12" s="4">
        <v>28740</v>
      </c>
      <c r="O12" t="s">
        <v>17</v>
      </c>
      <c r="P12">
        <v>7</v>
      </c>
      <c r="Q12">
        <v>8946167992.6944504</v>
      </c>
      <c r="R12">
        <v>1278023998.9563501</v>
      </c>
      <c r="S12">
        <v>13.623560882203417</v>
      </c>
      <c r="T12">
        <v>2.9144271424397503E-12</v>
      </c>
    </row>
    <row r="13" spans="1:26" x14ac:dyDescent="0.25">
      <c r="A13" s="3">
        <v>39783</v>
      </c>
      <c r="B13" s="1">
        <v>12132</v>
      </c>
      <c r="C13" s="1">
        <v>22088</v>
      </c>
      <c r="D13" s="1">
        <v>2285</v>
      </c>
      <c r="E13" s="1">
        <v>719</v>
      </c>
      <c r="F13" s="1">
        <v>5126</v>
      </c>
      <c r="G13" s="1">
        <v>6669</v>
      </c>
      <c r="H13" s="1">
        <v>8469</v>
      </c>
      <c r="I13" s="4">
        <v>31851</v>
      </c>
      <c r="O13" t="s">
        <v>18</v>
      </c>
      <c r="P13">
        <v>100</v>
      </c>
      <c r="Q13">
        <v>9380983503.5555534</v>
      </c>
      <c r="R13">
        <v>93809835.035555542</v>
      </c>
    </row>
    <row r="14" spans="1:26" ht="15.75" thickBot="1" x14ac:dyDescent="0.3">
      <c r="A14" s="3">
        <v>39814</v>
      </c>
      <c r="B14" s="1">
        <v>12542</v>
      </c>
      <c r="C14" s="1">
        <v>22332</v>
      </c>
      <c r="D14" s="1">
        <v>2592</v>
      </c>
      <c r="E14" s="1">
        <v>861</v>
      </c>
      <c r="F14" s="1">
        <v>5287</v>
      </c>
      <c r="G14" s="1">
        <v>6866</v>
      </c>
      <c r="H14" s="1">
        <v>8662</v>
      </c>
      <c r="I14" s="4">
        <v>22242</v>
      </c>
      <c r="O14" s="5" t="s">
        <v>19</v>
      </c>
      <c r="P14" s="5">
        <v>107</v>
      </c>
      <c r="Q14" s="5">
        <v>18327151496.250004</v>
      </c>
      <c r="R14" s="5"/>
      <c r="S14" s="5"/>
      <c r="T14" s="5"/>
    </row>
    <row r="15" spans="1:26" ht="15.75" thickBot="1" x14ac:dyDescent="0.3">
      <c r="A15" s="3">
        <v>39845</v>
      </c>
      <c r="B15" s="1">
        <v>12055</v>
      </c>
      <c r="C15" s="1">
        <v>20819</v>
      </c>
      <c r="D15" s="1">
        <v>2349</v>
      </c>
      <c r="E15" s="1">
        <v>775</v>
      </c>
      <c r="F15" s="1">
        <v>5016</v>
      </c>
      <c r="G15" s="1">
        <v>6585</v>
      </c>
      <c r="H15" s="1">
        <v>7107</v>
      </c>
      <c r="I15" s="4">
        <v>22378</v>
      </c>
    </row>
    <row r="16" spans="1:26" x14ac:dyDescent="0.25">
      <c r="A16" s="3">
        <v>39873</v>
      </c>
      <c r="B16" s="1">
        <v>13961</v>
      </c>
      <c r="C16" s="1">
        <v>24219</v>
      </c>
      <c r="D16" s="1">
        <v>2612</v>
      </c>
      <c r="E16" s="1">
        <v>962</v>
      </c>
      <c r="F16" s="1">
        <v>5718</v>
      </c>
      <c r="G16" s="1">
        <v>7867</v>
      </c>
      <c r="H16" s="1">
        <v>8143</v>
      </c>
      <c r="I16" s="4">
        <v>28958</v>
      </c>
      <c r="O16" s="6"/>
      <c r="P16" s="6" t="s">
        <v>26</v>
      </c>
      <c r="Q16" s="6" t="s">
        <v>14</v>
      </c>
      <c r="R16" s="6" t="s">
        <v>27</v>
      </c>
      <c r="S16" s="6" t="s">
        <v>28</v>
      </c>
      <c r="T16" s="6" t="s">
        <v>29</v>
      </c>
      <c r="U16" s="6" t="s">
        <v>30</v>
      </c>
      <c r="V16" s="6" t="s">
        <v>31</v>
      </c>
      <c r="W16" s="6" t="s">
        <v>32</v>
      </c>
      <c r="Y16" s="8" t="s">
        <v>33</v>
      </c>
      <c r="Z16" s="8" t="s">
        <v>34</v>
      </c>
    </row>
    <row r="17" spans="1:26" x14ac:dyDescent="0.25">
      <c r="A17" s="3">
        <v>39904</v>
      </c>
      <c r="B17" s="1">
        <v>13062</v>
      </c>
      <c r="C17" s="1">
        <v>23403</v>
      </c>
      <c r="D17" s="1">
        <v>2589</v>
      </c>
      <c r="E17" s="1">
        <v>912</v>
      </c>
      <c r="F17" s="1">
        <v>4033</v>
      </c>
      <c r="G17" s="1">
        <v>7873</v>
      </c>
      <c r="H17" s="1">
        <v>7309</v>
      </c>
      <c r="I17" s="4">
        <v>31111</v>
      </c>
      <c r="O17" t="s">
        <v>20</v>
      </c>
      <c r="P17">
        <v>62327.58971374976</v>
      </c>
      <c r="Q17">
        <v>21522.041612239431</v>
      </c>
      <c r="R17">
        <v>2.8959887187609796</v>
      </c>
      <c r="S17">
        <v>4.6425545056777836E-3</v>
      </c>
      <c r="T17">
        <v>19628.472134587944</v>
      </c>
      <c r="U17">
        <v>105026.70729291157</v>
      </c>
      <c r="V17">
        <v>19628.472134587944</v>
      </c>
      <c r="W17">
        <v>105026.70729291157</v>
      </c>
    </row>
    <row r="18" spans="1:26" x14ac:dyDescent="0.25">
      <c r="A18" s="3">
        <v>39934</v>
      </c>
      <c r="B18" s="1">
        <v>14591</v>
      </c>
      <c r="C18" s="1">
        <v>24439</v>
      </c>
      <c r="D18" s="1">
        <v>2707</v>
      </c>
      <c r="E18" s="1">
        <v>890</v>
      </c>
      <c r="F18" s="1">
        <v>4462</v>
      </c>
      <c r="G18" s="1">
        <v>8237</v>
      </c>
      <c r="H18" s="1">
        <v>7571</v>
      </c>
      <c r="I18" s="4">
        <v>36274</v>
      </c>
      <c r="O18" t="s">
        <v>1</v>
      </c>
      <c r="P18">
        <v>-2.9258681683966947</v>
      </c>
      <c r="Q18">
        <v>1.9009819491504214</v>
      </c>
      <c r="R18">
        <v>-1.5391351662777812</v>
      </c>
      <c r="S18">
        <v>0.12692969272647908</v>
      </c>
      <c r="T18">
        <v>-6.6973622127385246</v>
      </c>
      <c r="U18">
        <v>0.84562587594513516</v>
      </c>
      <c r="V18">
        <v>-6.6973622127385246</v>
      </c>
      <c r="W18">
        <v>0.84562587594513516</v>
      </c>
      <c r="Y18">
        <v>0.72814527226006998</v>
      </c>
      <c r="Z18">
        <f>1/(1-Y18)</f>
        <v>3.6784352007173866</v>
      </c>
    </row>
    <row r="19" spans="1:26" x14ac:dyDescent="0.25">
      <c r="A19" s="3">
        <v>39965</v>
      </c>
      <c r="B19" s="1">
        <v>14548</v>
      </c>
      <c r="C19" s="1">
        <v>24638</v>
      </c>
      <c r="D19" s="1">
        <v>2497</v>
      </c>
      <c r="E19" s="1">
        <v>938</v>
      </c>
      <c r="F19" s="1">
        <v>5239</v>
      </c>
      <c r="G19" s="1">
        <v>7636</v>
      </c>
      <c r="H19" s="1">
        <v>7620</v>
      </c>
      <c r="I19" s="4">
        <v>42760</v>
      </c>
      <c r="O19" t="s">
        <v>2</v>
      </c>
      <c r="P19">
        <v>-4.6479584925665245</v>
      </c>
      <c r="Q19">
        <v>1.7321709176482916</v>
      </c>
      <c r="R19">
        <v>-2.6833140108811531</v>
      </c>
      <c r="S19">
        <v>8.5318353556368982E-3</v>
      </c>
      <c r="T19">
        <v>-8.0845362583955467</v>
      </c>
      <c r="U19">
        <v>-1.2113807267375027</v>
      </c>
      <c r="V19">
        <v>-8.0845362583955467</v>
      </c>
      <c r="W19">
        <v>-1.2113807267375027</v>
      </c>
      <c r="Y19">
        <v>0.74702283588112084</v>
      </c>
      <c r="Z19">
        <f t="shared" ref="Z19:Z24" si="0">1/(1-Y19)</f>
        <v>3.9529259626377957</v>
      </c>
    </row>
    <row r="20" spans="1:26" x14ac:dyDescent="0.25">
      <c r="A20" s="3">
        <v>39995</v>
      </c>
      <c r="B20" s="1">
        <v>14116</v>
      </c>
      <c r="C20" s="1">
        <v>24955</v>
      </c>
      <c r="D20" s="1">
        <v>2434</v>
      </c>
      <c r="E20" s="1">
        <v>962</v>
      </c>
      <c r="F20" s="1">
        <v>5765</v>
      </c>
      <c r="G20" s="1">
        <v>7420</v>
      </c>
      <c r="H20" s="1">
        <v>7629</v>
      </c>
      <c r="I20" s="4">
        <v>52545</v>
      </c>
      <c r="O20" t="s">
        <v>3</v>
      </c>
      <c r="P20">
        <v>1.7484469123484512</v>
      </c>
      <c r="Q20">
        <v>2.1980144039665053</v>
      </c>
      <c r="R20">
        <v>0.79546653979756865</v>
      </c>
      <c r="S20">
        <v>0.42822628755967551</v>
      </c>
      <c r="T20">
        <v>-2.6123510624256241</v>
      </c>
      <c r="U20">
        <v>6.1092448871225269</v>
      </c>
      <c r="V20">
        <v>-2.6123510624256241</v>
      </c>
      <c r="W20">
        <v>6.1092448871225269</v>
      </c>
      <c r="Y20">
        <v>0.77123839343940437</v>
      </c>
      <c r="Z20">
        <f t="shared" si="0"/>
        <v>4.3713629005971963</v>
      </c>
    </row>
    <row r="21" spans="1:26" x14ac:dyDescent="0.25">
      <c r="A21" s="3">
        <v>40026</v>
      </c>
      <c r="B21" s="1">
        <v>13791</v>
      </c>
      <c r="C21" s="1">
        <v>22595</v>
      </c>
      <c r="D21" s="1">
        <v>2251</v>
      </c>
      <c r="E21" s="1">
        <v>908</v>
      </c>
      <c r="F21" s="1">
        <v>5025</v>
      </c>
      <c r="G21" s="1">
        <v>7080</v>
      </c>
      <c r="H21" s="1">
        <v>7045</v>
      </c>
      <c r="I21" s="4">
        <v>49219</v>
      </c>
      <c r="O21" t="s">
        <v>4</v>
      </c>
      <c r="P21">
        <v>-31.27960528947148</v>
      </c>
      <c r="Q21">
        <v>16.809834132033419</v>
      </c>
      <c r="R21">
        <v>-1.8607920247032033</v>
      </c>
      <c r="S21">
        <v>6.5711576667621605E-2</v>
      </c>
      <c r="T21">
        <v>-64.629837438530913</v>
      </c>
      <c r="U21">
        <v>2.0706268595879571</v>
      </c>
      <c r="V21">
        <v>-64.629837438530913</v>
      </c>
      <c r="W21">
        <v>2.0706268595879571</v>
      </c>
      <c r="Y21">
        <v>0.9032038630572663</v>
      </c>
      <c r="Z21" s="9">
        <f t="shared" si="0"/>
        <v>10.330990797614348</v>
      </c>
    </row>
    <row r="22" spans="1:26" x14ac:dyDescent="0.25">
      <c r="A22" s="3">
        <v>40057</v>
      </c>
      <c r="B22" s="1">
        <v>13029</v>
      </c>
      <c r="C22" s="1">
        <v>22728</v>
      </c>
      <c r="D22" s="1">
        <v>2288</v>
      </c>
      <c r="E22" s="1">
        <v>921</v>
      </c>
      <c r="F22" s="1">
        <v>4758</v>
      </c>
      <c r="G22" s="1">
        <v>6912</v>
      </c>
      <c r="H22" s="1">
        <v>7211</v>
      </c>
      <c r="I22" s="4">
        <v>50318</v>
      </c>
      <c r="O22" t="s">
        <v>5</v>
      </c>
      <c r="P22">
        <v>-9.7093338209890252</v>
      </c>
      <c r="Q22">
        <v>4.7788865685128767</v>
      </c>
      <c r="R22">
        <v>-2.0317146435242623</v>
      </c>
      <c r="S22">
        <v>4.4834962833731284E-2</v>
      </c>
      <c r="T22">
        <v>-19.19050866317334</v>
      </c>
      <c r="U22">
        <v>-0.22815897880470892</v>
      </c>
      <c r="V22">
        <v>-19.19050866317334</v>
      </c>
      <c r="W22">
        <v>-0.22815897880470892</v>
      </c>
      <c r="Y22">
        <v>0.83148324448831645</v>
      </c>
      <c r="Z22">
        <f t="shared" si="0"/>
        <v>5.9341280157192937</v>
      </c>
    </row>
    <row r="23" spans="1:26" x14ac:dyDescent="0.25">
      <c r="A23" s="3">
        <v>40087</v>
      </c>
      <c r="B23" s="1">
        <v>13586</v>
      </c>
      <c r="C23" s="1">
        <v>24253</v>
      </c>
      <c r="D23" s="1">
        <v>2584</v>
      </c>
      <c r="E23" s="1">
        <v>885</v>
      </c>
      <c r="F23" s="1">
        <v>5630</v>
      </c>
      <c r="G23" s="1">
        <v>6745</v>
      </c>
      <c r="H23" s="1">
        <v>7493</v>
      </c>
      <c r="I23" s="4">
        <v>54953</v>
      </c>
      <c r="O23" t="s">
        <v>6</v>
      </c>
      <c r="P23">
        <v>1.8281411324103189</v>
      </c>
      <c r="Q23">
        <v>0.78390658714831518</v>
      </c>
      <c r="R23">
        <v>2.3320905352520458</v>
      </c>
      <c r="S23">
        <v>2.1700893534836417E-2</v>
      </c>
      <c r="T23">
        <v>0.2728927903250582</v>
      </c>
      <c r="U23">
        <v>3.3833894744955799</v>
      </c>
      <c r="V23">
        <v>0.2728927903250582</v>
      </c>
      <c r="W23">
        <v>3.3833894744955799</v>
      </c>
      <c r="Y23">
        <v>0.6311941895612917</v>
      </c>
      <c r="Z23">
        <f t="shared" si="0"/>
        <v>2.7114540272846099</v>
      </c>
    </row>
    <row r="24" spans="1:26" ht="15.75" thickBot="1" x14ac:dyDescent="0.3">
      <c r="A24" s="3">
        <v>40118</v>
      </c>
      <c r="B24" s="1">
        <v>13177</v>
      </c>
      <c r="C24" s="1">
        <v>23415</v>
      </c>
      <c r="D24" s="1">
        <v>2314</v>
      </c>
      <c r="E24" s="1">
        <v>875</v>
      </c>
      <c r="F24" s="1">
        <v>5329</v>
      </c>
      <c r="G24" s="1">
        <v>6581</v>
      </c>
      <c r="H24" s="1">
        <v>7765</v>
      </c>
      <c r="I24" s="4">
        <v>51675</v>
      </c>
      <c r="O24" s="5" t="s">
        <v>7</v>
      </c>
      <c r="P24" s="5">
        <v>2.7436498797320055</v>
      </c>
      <c r="Q24" s="5">
        <v>1.2134204887940838</v>
      </c>
      <c r="R24" s="5">
        <v>2.2610874837449693</v>
      </c>
      <c r="S24" s="5">
        <v>2.5919914121618873E-2</v>
      </c>
      <c r="T24" s="5">
        <v>0.33625818997161216</v>
      </c>
      <c r="U24" s="5">
        <v>5.1510415694923992</v>
      </c>
      <c r="V24" s="5">
        <v>0.33625818997161216</v>
      </c>
      <c r="W24" s="5">
        <v>5.1510415694923992</v>
      </c>
      <c r="Y24">
        <v>0.92198340476848462</v>
      </c>
      <c r="Z24" s="9">
        <f t="shared" si="0"/>
        <v>12.817785716391306</v>
      </c>
    </row>
    <row r="25" spans="1:26" x14ac:dyDescent="0.25">
      <c r="A25" s="3">
        <v>40148</v>
      </c>
      <c r="B25" s="1">
        <v>12319</v>
      </c>
      <c r="C25" s="1">
        <v>21696</v>
      </c>
      <c r="D25" s="1">
        <v>2351</v>
      </c>
      <c r="E25" s="1">
        <v>755</v>
      </c>
      <c r="F25" s="1">
        <v>4287</v>
      </c>
      <c r="G25" s="1">
        <v>5763</v>
      </c>
      <c r="H25" s="1">
        <v>7064</v>
      </c>
      <c r="I25" s="4">
        <v>64459</v>
      </c>
    </row>
    <row r="26" spans="1:26" x14ac:dyDescent="0.25">
      <c r="A26" s="3">
        <v>40179</v>
      </c>
      <c r="B26" s="1">
        <v>12572</v>
      </c>
      <c r="C26" s="1">
        <v>21022</v>
      </c>
      <c r="D26" s="1">
        <v>2562</v>
      </c>
      <c r="E26" s="1">
        <v>832</v>
      </c>
      <c r="F26" s="1">
        <v>5056</v>
      </c>
      <c r="G26" s="1">
        <v>5931</v>
      </c>
      <c r="H26" s="1">
        <v>6959</v>
      </c>
      <c r="I26" s="4">
        <v>34067</v>
      </c>
    </row>
    <row r="27" spans="1:26" x14ac:dyDescent="0.25">
      <c r="A27" s="3">
        <v>40210</v>
      </c>
      <c r="B27" s="1">
        <v>12147</v>
      </c>
      <c r="C27" s="1">
        <v>21523</v>
      </c>
      <c r="D27" s="1">
        <v>2629</v>
      </c>
      <c r="E27" s="1">
        <v>893</v>
      </c>
      <c r="F27" s="1">
        <v>5005</v>
      </c>
      <c r="G27" s="1">
        <v>5719</v>
      </c>
      <c r="H27" s="1">
        <v>7153</v>
      </c>
      <c r="I27" s="4">
        <v>38023</v>
      </c>
      <c r="O27" t="s">
        <v>9</v>
      </c>
    </row>
    <row r="28" spans="1:26" ht="15.75" thickBot="1" x14ac:dyDescent="0.3">
      <c r="A28" s="3">
        <v>40238</v>
      </c>
      <c r="B28" s="1">
        <v>13981</v>
      </c>
      <c r="C28" s="1">
        <v>25578</v>
      </c>
      <c r="D28" s="1">
        <v>3176</v>
      </c>
      <c r="E28" s="1">
        <v>1005</v>
      </c>
      <c r="F28" s="1">
        <v>5134</v>
      </c>
      <c r="G28" s="1">
        <v>7169</v>
      </c>
      <c r="H28" s="1">
        <v>7586</v>
      </c>
      <c r="I28" s="4">
        <v>44487</v>
      </c>
    </row>
    <row r="29" spans="1:26" x14ac:dyDescent="0.25">
      <c r="A29" s="3">
        <v>40269</v>
      </c>
      <c r="B29" s="1">
        <v>13306</v>
      </c>
      <c r="C29" s="1">
        <v>24534</v>
      </c>
      <c r="D29" s="1">
        <v>2719</v>
      </c>
      <c r="E29" s="1">
        <v>911</v>
      </c>
      <c r="F29" s="1">
        <v>4644</v>
      </c>
      <c r="G29" s="1">
        <v>7177</v>
      </c>
      <c r="H29" s="1">
        <v>6794</v>
      </c>
      <c r="I29" s="4">
        <v>44434</v>
      </c>
      <c r="O29" s="7" t="s">
        <v>10</v>
      </c>
      <c r="P29" s="7"/>
    </row>
    <row r="30" spans="1:26" x14ac:dyDescent="0.25">
      <c r="A30" s="3">
        <v>40299</v>
      </c>
      <c r="B30" s="1">
        <v>14442</v>
      </c>
      <c r="C30" s="1">
        <v>25045</v>
      </c>
      <c r="D30" s="1">
        <v>3014</v>
      </c>
      <c r="E30" s="1">
        <v>950</v>
      </c>
      <c r="F30" s="1">
        <v>4803</v>
      </c>
      <c r="G30" s="1">
        <v>7022</v>
      </c>
      <c r="H30" s="1">
        <v>6850</v>
      </c>
      <c r="I30" s="4">
        <v>44515</v>
      </c>
      <c r="O30" t="s">
        <v>11</v>
      </c>
      <c r="P30">
        <v>0.85331428691899325</v>
      </c>
    </row>
    <row r="31" spans="1:26" x14ac:dyDescent="0.25">
      <c r="A31" s="3">
        <v>40330</v>
      </c>
      <c r="B31" s="1">
        <v>14658</v>
      </c>
      <c r="C31" s="1">
        <v>25637</v>
      </c>
      <c r="D31" s="1">
        <v>2701</v>
      </c>
      <c r="E31" s="1">
        <v>925</v>
      </c>
      <c r="F31" s="1">
        <v>4674</v>
      </c>
      <c r="G31" s="1">
        <v>7187</v>
      </c>
      <c r="H31" s="1">
        <v>6850</v>
      </c>
      <c r="I31" s="4">
        <v>54289</v>
      </c>
      <c r="O31" t="s">
        <v>12</v>
      </c>
      <c r="P31">
        <v>0.72814527226006998</v>
      </c>
    </row>
    <row r="32" spans="1:26" x14ac:dyDescent="0.25">
      <c r="A32" s="3">
        <v>40360</v>
      </c>
      <c r="B32" s="1">
        <v>14952</v>
      </c>
      <c r="C32" s="1">
        <v>25928</v>
      </c>
      <c r="D32" s="1">
        <v>2544</v>
      </c>
      <c r="E32" s="1">
        <v>999</v>
      </c>
      <c r="F32" s="1">
        <v>5432</v>
      </c>
      <c r="G32" s="1">
        <v>7136</v>
      </c>
      <c r="H32" s="1">
        <v>6773</v>
      </c>
      <c r="I32" s="4">
        <v>58555</v>
      </c>
      <c r="O32" t="s">
        <v>13</v>
      </c>
      <c r="P32">
        <v>0.71199548645373745</v>
      </c>
    </row>
    <row r="33" spans="1:23" x14ac:dyDescent="0.25">
      <c r="A33" s="3">
        <v>40391</v>
      </c>
      <c r="B33" s="1">
        <v>12951</v>
      </c>
      <c r="C33" s="1">
        <v>23763</v>
      </c>
      <c r="D33" s="1">
        <v>2306</v>
      </c>
      <c r="E33" s="1">
        <v>849</v>
      </c>
      <c r="F33" s="1">
        <v>5796</v>
      </c>
      <c r="G33" s="1">
        <v>6477</v>
      </c>
      <c r="H33" s="1">
        <v>6898</v>
      </c>
      <c r="I33" s="4">
        <v>53477</v>
      </c>
      <c r="O33" t="s">
        <v>14</v>
      </c>
      <c r="P33">
        <v>506.97378866560621</v>
      </c>
    </row>
    <row r="34" spans="1:23" ht="15.75" thickBot="1" x14ac:dyDescent="0.3">
      <c r="A34" s="3">
        <v>40422</v>
      </c>
      <c r="B34" s="1">
        <v>12812</v>
      </c>
      <c r="C34" s="1">
        <v>25215</v>
      </c>
      <c r="D34" s="1">
        <v>2520</v>
      </c>
      <c r="E34" s="1">
        <v>893</v>
      </c>
      <c r="F34" s="1">
        <v>4924</v>
      </c>
      <c r="G34" s="1">
        <v>6250</v>
      </c>
      <c r="H34" s="1">
        <v>7117</v>
      </c>
      <c r="I34" s="4">
        <v>50395</v>
      </c>
      <c r="O34" s="5" t="s">
        <v>15</v>
      </c>
      <c r="P34" s="5">
        <v>108</v>
      </c>
    </row>
    <row r="35" spans="1:23" x14ac:dyDescent="0.25">
      <c r="A35" s="3">
        <v>40452</v>
      </c>
      <c r="B35" s="1">
        <v>12930</v>
      </c>
      <c r="C35" s="1">
        <v>26293</v>
      </c>
      <c r="D35" s="1">
        <v>2706</v>
      </c>
      <c r="E35" s="1">
        <v>893</v>
      </c>
      <c r="F35" s="1">
        <v>5267</v>
      </c>
      <c r="G35" s="1">
        <v>6421</v>
      </c>
      <c r="H35" s="1">
        <v>7603</v>
      </c>
      <c r="I35" s="4">
        <v>49662</v>
      </c>
    </row>
    <row r="36" spans="1:23" ht="15.75" thickBot="1" x14ac:dyDescent="0.3">
      <c r="A36" s="3">
        <v>40483</v>
      </c>
      <c r="B36" s="1">
        <v>12052</v>
      </c>
      <c r="C36" s="1">
        <v>25417</v>
      </c>
      <c r="D36" s="1">
        <v>2786</v>
      </c>
      <c r="E36" s="1">
        <v>874</v>
      </c>
      <c r="F36" s="1">
        <v>4659</v>
      </c>
      <c r="G36" s="1">
        <v>6288</v>
      </c>
      <c r="H36" s="1">
        <v>8589</v>
      </c>
      <c r="I36" s="4">
        <v>47959</v>
      </c>
      <c r="O36" t="s">
        <v>16</v>
      </c>
    </row>
    <row r="37" spans="1:23" x14ac:dyDescent="0.25">
      <c r="A37" s="3">
        <v>40513</v>
      </c>
      <c r="B37" s="1">
        <v>11091</v>
      </c>
      <c r="C37" s="1">
        <v>20969</v>
      </c>
      <c r="D37" s="1">
        <v>2678</v>
      </c>
      <c r="E37" s="1">
        <v>744</v>
      </c>
      <c r="F37" s="1">
        <v>3280</v>
      </c>
      <c r="G37" s="1">
        <v>5120</v>
      </c>
      <c r="H37" s="1">
        <v>7654</v>
      </c>
      <c r="I37" s="4">
        <v>47823</v>
      </c>
      <c r="O37" s="6"/>
      <c r="P37" s="6" t="s">
        <v>21</v>
      </c>
      <c r="Q37" s="6" t="s">
        <v>22</v>
      </c>
      <c r="R37" s="6" t="s">
        <v>23</v>
      </c>
      <c r="S37" s="6" t="s">
        <v>24</v>
      </c>
      <c r="T37" s="6" t="s">
        <v>25</v>
      </c>
    </row>
    <row r="38" spans="1:23" x14ac:dyDescent="0.25">
      <c r="A38" s="3">
        <v>40544</v>
      </c>
      <c r="B38" s="1">
        <v>11866</v>
      </c>
      <c r="C38" s="1">
        <v>23277</v>
      </c>
      <c r="D38" s="1">
        <v>3059</v>
      </c>
      <c r="E38" s="1">
        <v>810</v>
      </c>
      <c r="F38" s="1">
        <v>4624</v>
      </c>
      <c r="G38" s="1">
        <v>5632</v>
      </c>
      <c r="H38" s="1">
        <v>8698</v>
      </c>
      <c r="I38" s="4">
        <v>34048</v>
      </c>
      <c r="O38" t="s">
        <v>17</v>
      </c>
      <c r="P38">
        <v>6</v>
      </c>
      <c r="Q38">
        <v>69530208.254876822</v>
      </c>
      <c r="R38">
        <v>11588368.04247947</v>
      </c>
      <c r="S38">
        <v>45.086992545409352</v>
      </c>
      <c r="T38">
        <v>1.9755197064504007E-26</v>
      </c>
    </row>
    <row r="39" spans="1:23" x14ac:dyDescent="0.25">
      <c r="A39" s="3">
        <v>40575</v>
      </c>
      <c r="B39" s="1">
        <v>11150</v>
      </c>
      <c r="C39" s="1">
        <v>22743</v>
      </c>
      <c r="D39" s="1">
        <v>2940</v>
      </c>
      <c r="E39" s="1">
        <v>780</v>
      </c>
      <c r="F39" s="1">
        <v>4538</v>
      </c>
      <c r="G39" s="1">
        <v>5270</v>
      </c>
      <c r="H39" s="1">
        <v>7474</v>
      </c>
      <c r="I39" s="4">
        <v>34838</v>
      </c>
      <c r="O39" t="s">
        <v>18</v>
      </c>
      <c r="P39">
        <v>101</v>
      </c>
      <c r="Q39">
        <v>25959264.661789831</v>
      </c>
      <c r="R39">
        <v>257022.42239395872</v>
      </c>
    </row>
    <row r="40" spans="1:23" ht="15.75" thickBot="1" x14ac:dyDescent="0.3">
      <c r="A40" s="3">
        <v>40603</v>
      </c>
      <c r="B40" s="1">
        <v>12302</v>
      </c>
      <c r="C40" s="1">
        <v>25900</v>
      </c>
      <c r="D40" s="1">
        <v>3102</v>
      </c>
      <c r="E40" s="1">
        <v>898</v>
      </c>
      <c r="F40" s="1">
        <v>5007</v>
      </c>
      <c r="G40" s="1">
        <v>6060</v>
      </c>
      <c r="H40" s="1">
        <v>8013</v>
      </c>
      <c r="I40" s="4">
        <v>40719</v>
      </c>
      <c r="O40" s="5" t="s">
        <v>19</v>
      </c>
      <c r="P40" s="5">
        <v>107</v>
      </c>
      <c r="Q40" s="5">
        <v>95489472.916666657</v>
      </c>
      <c r="R40" s="5"/>
      <c r="S40" s="5"/>
      <c r="T40" s="5"/>
    </row>
    <row r="41" spans="1:23" ht="15.75" thickBot="1" x14ac:dyDescent="0.3">
      <c r="A41" s="3">
        <v>40634</v>
      </c>
      <c r="B41" s="1">
        <v>12420</v>
      </c>
      <c r="C41" s="1">
        <v>24810</v>
      </c>
      <c r="D41" s="1">
        <v>3077</v>
      </c>
      <c r="E41" s="1">
        <v>779</v>
      </c>
      <c r="F41" s="1">
        <v>4121</v>
      </c>
      <c r="G41" s="1">
        <v>6231</v>
      </c>
      <c r="H41" s="1">
        <v>7276</v>
      </c>
      <c r="I41" s="4">
        <v>43431</v>
      </c>
    </row>
    <row r="42" spans="1:23" x14ac:dyDescent="0.25">
      <c r="A42" s="3">
        <v>40664</v>
      </c>
      <c r="B42" s="1">
        <v>12289</v>
      </c>
      <c r="C42" s="1">
        <v>27359</v>
      </c>
      <c r="D42" s="1">
        <v>3395</v>
      </c>
      <c r="E42" s="1">
        <v>874</v>
      </c>
      <c r="F42" s="1">
        <v>4734</v>
      </c>
      <c r="G42" s="1">
        <v>6291</v>
      </c>
      <c r="H42" s="1">
        <v>7688</v>
      </c>
      <c r="I42" s="4">
        <v>41353</v>
      </c>
      <c r="O42" s="6"/>
      <c r="P42" s="6" t="s">
        <v>26</v>
      </c>
      <c r="Q42" s="6" t="s">
        <v>14</v>
      </c>
      <c r="R42" s="6" t="s">
        <v>27</v>
      </c>
      <c r="S42" s="6" t="s">
        <v>28</v>
      </c>
      <c r="T42" s="6" t="s">
        <v>29</v>
      </c>
      <c r="U42" s="6" t="s">
        <v>30</v>
      </c>
      <c r="V42" s="6" t="s">
        <v>31</v>
      </c>
      <c r="W42" s="6" t="s">
        <v>32</v>
      </c>
    </row>
    <row r="43" spans="1:23" x14ac:dyDescent="0.25">
      <c r="A43" s="3">
        <v>40695</v>
      </c>
      <c r="B43" s="1">
        <v>12633</v>
      </c>
      <c r="C43" s="1">
        <v>27029</v>
      </c>
      <c r="D43" s="1">
        <v>3124</v>
      </c>
      <c r="E43" s="1">
        <v>899</v>
      </c>
      <c r="F43" s="1">
        <v>5032</v>
      </c>
      <c r="G43" s="1">
        <v>6026</v>
      </c>
      <c r="H43" s="1">
        <v>7079</v>
      </c>
      <c r="I43" s="4">
        <v>48971</v>
      </c>
      <c r="O43" t="s">
        <v>20</v>
      </c>
      <c r="P43">
        <v>7142.1079006623304</v>
      </c>
      <c r="Q43">
        <v>874.09100775461638</v>
      </c>
      <c r="R43">
        <v>8.1708973519921333</v>
      </c>
      <c r="S43">
        <v>9.1963948265622826E-13</v>
      </c>
      <c r="T43">
        <v>5408.1464691747897</v>
      </c>
      <c r="U43">
        <v>8876.0693321498711</v>
      </c>
      <c r="V43">
        <v>5408.1464691747897</v>
      </c>
      <c r="W43">
        <v>8876.0693321498711</v>
      </c>
    </row>
    <row r="44" spans="1:23" x14ac:dyDescent="0.25">
      <c r="A44" s="3">
        <v>40725</v>
      </c>
      <c r="B44" s="1">
        <v>12942</v>
      </c>
      <c r="C44" s="1">
        <v>26332</v>
      </c>
      <c r="D44" s="1">
        <v>3268</v>
      </c>
      <c r="E44" s="1">
        <v>974</v>
      </c>
      <c r="F44" s="1">
        <v>5703</v>
      </c>
      <c r="G44" s="1">
        <v>6053</v>
      </c>
      <c r="H44" s="1">
        <v>7156</v>
      </c>
      <c r="I44" s="4">
        <v>54040</v>
      </c>
      <c r="O44" t="s">
        <v>7</v>
      </c>
      <c r="P44">
        <v>-9.1262625356160157E-2</v>
      </c>
      <c r="Q44">
        <v>6.2861937845699184E-2</v>
      </c>
      <c r="R44">
        <v>-1.4517946548223386</v>
      </c>
      <c r="S44">
        <v>0.1496579898298761</v>
      </c>
      <c r="T44">
        <v>-0.21596380036654189</v>
      </c>
      <c r="U44">
        <v>3.3438549654221564E-2</v>
      </c>
      <c r="V44">
        <v>-0.21596380036654189</v>
      </c>
      <c r="W44">
        <v>3.3438549654221564E-2</v>
      </c>
    </row>
    <row r="45" spans="1:23" x14ac:dyDescent="0.25">
      <c r="A45" s="3">
        <v>40756</v>
      </c>
      <c r="B45" s="1">
        <v>11884</v>
      </c>
      <c r="C45" s="1">
        <v>23926</v>
      </c>
      <c r="D45" s="1">
        <v>2869</v>
      </c>
      <c r="E45" s="1">
        <v>895</v>
      </c>
      <c r="F45" s="1">
        <v>4927</v>
      </c>
      <c r="G45" s="1">
        <v>6733</v>
      </c>
      <c r="H45" s="1">
        <v>7883</v>
      </c>
      <c r="I45" s="4">
        <v>55412</v>
      </c>
      <c r="O45" t="s">
        <v>6</v>
      </c>
      <c r="P45">
        <v>4.5130247565848922E-2</v>
      </c>
      <c r="Q45">
        <v>4.0785808130909568E-2</v>
      </c>
      <c r="R45">
        <v>1.1065184100556515</v>
      </c>
      <c r="S45">
        <v>0.27113075104086753</v>
      </c>
      <c r="T45">
        <v>-3.5777824504035161E-2</v>
      </c>
      <c r="U45">
        <v>0.126038319635733</v>
      </c>
      <c r="V45">
        <v>-3.5777824504035161E-2</v>
      </c>
      <c r="W45">
        <v>0.126038319635733</v>
      </c>
    </row>
    <row r="46" spans="1:23" x14ac:dyDescent="0.25">
      <c r="A46" s="3">
        <v>40787</v>
      </c>
      <c r="B46" s="1">
        <v>12286</v>
      </c>
      <c r="C46" s="1">
        <v>25300</v>
      </c>
      <c r="D46" s="1">
        <v>2654</v>
      </c>
      <c r="E46" s="1">
        <v>863</v>
      </c>
      <c r="F46" s="1">
        <v>4728</v>
      </c>
      <c r="G46" s="1">
        <v>5718</v>
      </c>
      <c r="H46" s="1">
        <v>7091</v>
      </c>
      <c r="I46" s="4">
        <v>54726</v>
      </c>
      <c r="O46" t="s">
        <v>5</v>
      </c>
      <c r="P46">
        <v>0.56621922611986375</v>
      </c>
      <c r="Q46">
        <v>0.24371526723527712</v>
      </c>
      <c r="R46">
        <v>2.3232817235583716</v>
      </c>
      <c r="S46">
        <v>2.21687087082954E-2</v>
      </c>
      <c r="T46">
        <v>8.2753694611634288E-2</v>
      </c>
      <c r="U46">
        <v>1.0496847576280932</v>
      </c>
      <c r="V46">
        <v>8.2753694611634288E-2</v>
      </c>
      <c r="W46">
        <v>1.0496847576280932</v>
      </c>
    </row>
    <row r="47" spans="1:23" x14ac:dyDescent="0.25">
      <c r="A47" s="3">
        <v>40817</v>
      </c>
      <c r="B47" s="1">
        <v>13083</v>
      </c>
      <c r="C47" s="1">
        <v>27928</v>
      </c>
      <c r="D47" s="1">
        <v>3050</v>
      </c>
      <c r="E47" s="1">
        <v>802</v>
      </c>
      <c r="F47" s="1">
        <v>4957</v>
      </c>
      <c r="G47" s="1">
        <v>5901</v>
      </c>
      <c r="H47" s="1">
        <v>7901</v>
      </c>
      <c r="I47" s="4">
        <v>49349</v>
      </c>
      <c r="O47" t="s">
        <v>4</v>
      </c>
      <c r="P47">
        <v>-1.6002436618094247</v>
      </c>
      <c r="Q47">
        <v>0.86535495693094699</v>
      </c>
      <c r="R47">
        <v>-1.8492338305714702</v>
      </c>
      <c r="S47">
        <v>6.7348585685621604E-2</v>
      </c>
      <c r="T47">
        <v>-3.3168751184346563</v>
      </c>
      <c r="U47">
        <v>0.11638779481580674</v>
      </c>
      <c r="V47">
        <v>-3.3168751184346563</v>
      </c>
      <c r="W47">
        <v>0.11638779481580674</v>
      </c>
    </row>
    <row r="48" spans="1:23" x14ac:dyDescent="0.25">
      <c r="A48" s="3">
        <v>40848</v>
      </c>
      <c r="B48" s="1">
        <v>12454</v>
      </c>
      <c r="C48" s="1">
        <v>28490</v>
      </c>
      <c r="D48" s="1">
        <v>3296</v>
      </c>
      <c r="E48" s="1">
        <v>845</v>
      </c>
      <c r="F48" s="1">
        <v>5007</v>
      </c>
      <c r="G48" s="1">
        <v>5701</v>
      </c>
      <c r="H48" s="1">
        <v>8326</v>
      </c>
      <c r="I48" s="4">
        <v>50738</v>
      </c>
      <c r="O48" t="s">
        <v>3</v>
      </c>
      <c r="P48">
        <v>4.7448103538138664E-2</v>
      </c>
      <c r="Q48">
        <v>0.11495447383880522</v>
      </c>
      <c r="R48">
        <v>0.41275560622958191</v>
      </c>
      <c r="S48">
        <v>0.6806605716932056</v>
      </c>
      <c r="T48">
        <v>-0.18059065014434822</v>
      </c>
      <c r="U48">
        <v>0.27548685722062555</v>
      </c>
      <c r="V48">
        <v>-0.18059065014434822</v>
      </c>
      <c r="W48">
        <v>0.27548685722062555</v>
      </c>
    </row>
    <row r="49" spans="1:23" ht="15.75" thickBot="1" x14ac:dyDescent="0.3">
      <c r="A49" s="3">
        <v>40878</v>
      </c>
      <c r="B49" s="1">
        <v>11592</v>
      </c>
      <c r="C49" s="1">
        <v>26198</v>
      </c>
      <c r="D49" s="1">
        <v>2845</v>
      </c>
      <c r="E49" s="1">
        <v>845</v>
      </c>
      <c r="F49" s="1">
        <v>4172</v>
      </c>
      <c r="G49" s="1">
        <v>5298</v>
      </c>
      <c r="H49" s="1">
        <v>8730</v>
      </c>
      <c r="I49" s="4">
        <v>53378</v>
      </c>
      <c r="O49" s="5" t="s">
        <v>2</v>
      </c>
      <c r="P49" s="5">
        <v>9.9502651519685313E-3</v>
      </c>
      <c r="Q49" s="5">
        <v>9.0662182031137337E-2</v>
      </c>
      <c r="R49" s="5">
        <v>0.10975100013091652</v>
      </c>
      <c r="S49" s="5">
        <v>0.91282462474307646</v>
      </c>
      <c r="T49" s="5">
        <v>-0.16989911613880312</v>
      </c>
      <c r="U49" s="5">
        <v>0.18979964644274019</v>
      </c>
      <c r="V49" s="5">
        <v>-0.16989911613880312</v>
      </c>
      <c r="W49" s="5">
        <v>0.18979964644274019</v>
      </c>
    </row>
    <row r="50" spans="1:23" x14ac:dyDescent="0.25">
      <c r="A50" s="3">
        <v>40909</v>
      </c>
      <c r="B50" s="1">
        <v>11822</v>
      </c>
      <c r="C50" s="1">
        <v>27445</v>
      </c>
      <c r="D50" s="1">
        <v>2944</v>
      </c>
      <c r="E50" s="1">
        <v>859</v>
      </c>
      <c r="F50" s="1">
        <v>5068</v>
      </c>
      <c r="G50" s="1">
        <v>5600</v>
      </c>
      <c r="H50" s="1">
        <v>8698</v>
      </c>
      <c r="I50" s="4">
        <v>38991</v>
      </c>
    </row>
    <row r="51" spans="1:23" x14ac:dyDescent="0.25">
      <c r="A51" s="3">
        <v>40940</v>
      </c>
      <c r="B51" s="1">
        <v>11058</v>
      </c>
      <c r="C51" s="1">
        <v>25001</v>
      </c>
      <c r="D51" s="1">
        <v>2796</v>
      </c>
      <c r="E51" s="1">
        <v>869</v>
      </c>
      <c r="F51" s="1">
        <v>4309</v>
      </c>
      <c r="G51" s="1">
        <v>5063</v>
      </c>
      <c r="H51" s="1">
        <v>7639</v>
      </c>
      <c r="I51" s="4">
        <v>39820</v>
      </c>
    </row>
    <row r="52" spans="1:23" x14ac:dyDescent="0.25">
      <c r="A52" s="3">
        <v>40969</v>
      </c>
      <c r="B52" s="1">
        <v>12930</v>
      </c>
      <c r="C52" s="1">
        <v>31076</v>
      </c>
      <c r="D52" s="1">
        <v>3330</v>
      </c>
      <c r="E52" s="1">
        <v>984</v>
      </c>
      <c r="F52" s="1">
        <v>4769</v>
      </c>
      <c r="G52" s="1">
        <v>5809</v>
      </c>
      <c r="H52" s="1">
        <v>8639</v>
      </c>
      <c r="I52" s="4">
        <v>54431</v>
      </c>
    </row>
    <row r="53" spans="1:23" x14ac:dyDescent="0.25">
      <c r="A53" s="3">
        <v>41000</v>
      </c>
      <c r="B53" s="1">
        <v>11931</v>
      </c>
      <c r="C53" s="1">
        <v>26646</v>
      </c>
      <c r="D53" s="1">
        <v>2994</v>
      </c>
      <c r="E53" s="1">
        <v>771</v>
      </c>
      <c r="F53" s="1">
        <v>3765</v>
      </c>
      <c r="G53" s="1">
        <v>5162</v>
      </c>
      <c r="H53" s="1">
        <v>7532</v>
      </c>
      <c r="I53" s="4">
        <v>36927</v>
      </c>
    </row>
    <row r="54" spans="1:23" x14ac:dyDescent="0.25">
      <c r="A54" s="3">
        <v>41030</v>
      </c>
      <c r="B54" s="1">
        <v>13638</v>
      </c>
      <c r="C54" s="1">
        <v>29823</v>
      </c>
      <c r="D54" s="1">
        <v>3027</v>
      </c>
      <c r="E54" s="1">
        <v>908</v>
      </c>
      <c r="F54" s="1">
        <v>3959</v>
      </c>
      <c r="G54" s="1">
        <v>5661</v>
      </c>
      <c r="H54" s="1">
        <v>7328</v>
      </c>
      <c r="I54" s="4">
        <v>45371</v>
      </c>
    </row>
    <row r="55" spans="1:23" x14ac:dyDescent="0.25">
      <c r="A55" s="3">
        <v>41061</v>
      </c>
      <c r="B55" s="1">
        <v>12955</v>
      </c>
      <c r="C55" s="1">
        <v>28152</v>
      </c>
      <c r="D55" s="1">
        <v>2992</v>
      </c>
      <c r="E55" s="1">
        <v>838</v>
      </c>
      <c r="F55" s="1">
        <v>4378</v>
      </c>
      <c r="G55" s="1">
        <v>5455</v>
      </c>
      <c r="H55" s="1">
        <v>7511</v>
      </c>
      <c r="I55" s="4">
        <v>50541</v>
      </c>
    </row>
    <row r="56" spans="1:23" x14ac:dyDescent="0.25">
      <c r="A56" s="3">
        <v>41091</v>
      </c>
      <c r="B56" s="1">
        <v>13531</v>
      </c>
      <c r="C56" s="1">
        <v>28878</v>
      </c>
      <c r="D56" s="1">
        <v>2990</v>
      </c>
      <c r="E56" s="1">
        <v>925</v>
      </c>
      <c r="F56" s="1">
        <v>4575</v>
      </c>
      <c r="G56" s="1">
        <v>5288</v>
      </c>
      <c r="H56" s="1">
        <v>7093</v>
      </c>
      <c r="I56" s="4">
        <v>52615</v>
      </c>
    </row>
    <row r="57" spans="1:23" x14ac:dyDescent="0.25">
      <c r="A57" s="3">
        <v>41122</v>
      </c>
      <c r="B57" s="1">
        <v>13483</v>
      </c>
      <c r="C57" s="1">
        <v>27442</v>
      </c>
      <c r="D57" s="1">
        <v>2679</v>
      </c>
      <c r="E57" s="1">
        <v>979</v>
      </c>
      <c r="F57" s="1">
        <v>4935</v>
      </c>
      <c r="G57" s="1">
        <v>5381</v>
      </c>
      <c r="H57" s="1">
        <v>7244</v>
      </c>
      <c r="I57" s="4">
        <v>56536</v>
      </c>
    </row>
    <row r="58" spans="1:23" x14ac:dyDescent="0.25">
      <c r="A58" s="3">
        <v>41153</v>
      </c>
      <c r="B58" s="1">
        <v>12283</v>
      </c>
      <c r="C58" s="1">
        <v>25361</v>
      </c>
      <c r="D58" s="1">
        <v>2700</v>
      </c>
      <c r="E58" s="1">
        <v>944</v>
      </c>
      <c r="F58" s="1">
        <v>4144</v>
      </c>
      <c r="G58" s="1">
        <v>4600</v>
      </c>
      <c r="H58" s="1">
        <v>6880</v>
      </c>
      <c r="I58" s="4">
        <v>47313</v>
      </c>
    </row>
    <row r="59" spans="1:23" x14ac:dyDescent="0.25">
      <c r="A59" s="3">
        <v>41183</v>
      </c>
      <c r="B59" s="1">
        <v>12404</v>
      </c>
      <c r="C59" s="1">
        <v>28871</v>
      </c>
      <c r="D59" s="1">
        <v>2851</v>
      </c>
      <c r="E59" s="1">
        <v>919</v>
      </c>
      <c r="F59" s="1">
        <v>3985</v>
      </c>
      <c r="G59" s="1">
        <v>4740</v>
      </c>
      <c r="H59" s="1">
        <v>7958</v>
      </c>
      <c r="I59" s="4">
        <v>50666</v>
      </c>
    </row>
    <row r="60" spans="1:23" x14ac:dyDescent="0.25">
      <c r="A60" s="3">
        <v>41214</v>
      </c>
      <c r="B60" s="1">
        <v>12012</v>
      </c>
      <c r="C60" s="1">
        <v>28705</v>
      </c>
      <c r="D60" s="1">
        <v>3055</v>
      </c>
      <c r="E60" s="1">
        <v>897</v>
      </c>
      <c r="F60" s="1">
        <v>4122</v>
      </c>
      <c r="G60" s="1">
        <v>4958</v>
      </c>
      <c r="H60" s="1">
        <v>8765</v>
      </c>
      <c r="I60" s="4">
        <v>53929</v>
      </c>
    </row>
    <row r="61" spans="1:23" x14ac:dyDescent="0.25">
      <c r="A61" s="3">
        <v>41244</v>
      </c>
      <c r="B61" s="1">
        <v>11967</v>
      </c>
      <c r="C61" s="1">
        <v>26654</v>
      </c>
      <c r="D61" s="1">
        <v>2902</v>
      </c>
      <c r="E61" s="1">
        <v>782</v>
      </c>
      <c r="F61" s="1">
        <v>3767</v>
      </c>
      <c r="G61" s="1">
        <v>4441</v>
      </c>
      <c r="H61" s="1">
        <v>8105</v>
      </c>
      <c r="I61" s="4">
        <v>47945</v>
      </c>
    </row>
    <row r="62" spans="1:23" x14ac:dyDescent="0.25">
      <c r="A62" s="3">
        <v>41275</v>
      </c>
      <c r="B62" s="1">
        <v>11358</v>
      </c>
      <c r="C62" s="1">
        <v>26626</v>
      </c>
      <c r="D62" s="1">
        <v>2719</v>
      </c>
      <c r="E62" s="1">
        <v>767</v>
      </c>
      <c r="F62" s="1">
        <v>4436</v>
      </c>
      <c r="G62" s="1">
        <v>4565</v>
      </c>
      <c r="H62" s="1">
        <v>8462</v>
      </c>
      <c r="I62" s="4">
        <v>39477</v>
      </c>
    </row>
    <row r="63" spans="1:23" x14ac:dyDescent="0.25">
      <c r="A63" s="3">
        <v>41306</v>
      </c>
      <c r="B63" s="1">
        <v>10316</v>
      </c>
      <c r="C63" s="1">
        <v>25410</v>
      </c>
      <c r="D63" s="1">
        <v>2326</v>
      </c>
      <c r="E63" s="1">
        <v>855</v>
      </c>
      <c r="F63" s="1">
        <v>4044</v>
      </c>
      <c r="G63" s="1">
        <v>4563</v>
      </c>
      <c r="H63" s="1">
        <v>7757</v>
      </c>
      <c r="I63" s="4">
        <v>39848</v>
      </c>
    </row>
    <row r="64" spans="1:23" x14ac:dyDescent="0.25">
      <c r="A64" s="3">
        <v>41334</v>
      </c>
      <c r="B64" s="1">
        <v>11612</v>
      </c>
      <c r="C64" s="1">
        <v>25969</v>
      </c>
      <c r="D64" s="1">
        <v>2606</v>
      </c>
      <c r="E64" s="1">
        <v>935</v>
      </c>
      <c r="F64" s="1">
        <v>4425</v>
      </c>
      <c r="G64" s="1">
        <v>4472</v>
      </c>
      <c r="H64" s="1">
        <v>7571</v>
      </c>
      <c r="I64" s="4">
        <v>46678</v>
      </c>
    </row>
    <row r="65" spans="1:9" x14ac:dyDescent="0.25">
      <c r="A65" s="3">
        <v>41365</v>
      </c>
      <c r="B65" s="1">
        <v>11405</v>
      </c>
      <c r="C65" s="1">
        <v>25219</v>
      </c>
      <c r="D65" s="1">
        <v>2270</v>
      </c>
      <c r="E65" s="1">
        <v>893</v>
      </c>
      <c r="F65" s="1">
        <v>3973</v>
      </c>
      <c r="G65" s="1">
        <v>4809</v>
      </c>
      <c r="H65" s="1">
        <v>7109</v>
      </c>
      <c r="I65" s="4">
        <v>44490</v>
      </c>
    </row>
    <row r="66" spans="1:9" x14ac:dyDescent="0.25">
      <c r="A66" s="3">
        <v>41395</v>
      </c>
      <c r="B66" s="1">
        <v>12290</v>
      </c>
      <c r="C66" s="1">
        <v>25126</v>
      </c>
      <c r="D66" s="1">
        <v>2397</v>
      </c>
      <c r="E66" s="1">
        <v>912</v>
      </c>
      <c r="F66" s="1">
        <v>4254</v>
      </c>
      <c r="G66" s="1">
        <v>4956</v>
      </c>
      <c r="H66" s="1">
        <v>6830</v>
      </c>
      <c r="I66" s="4">
        <v>56133</v>
      </c>
    </row>
    <row r="67" spans="1:9" x14ac:dyDescent="0.25">
      <c r="A67" s="3">
        <v>41426</v>
      </c>
      <c r="B67" s="1">
        <v>12427</v>
      </c>
      <c r="C67" s="1">
        <v>25686</v>
      </c>
      <c r="D67" s="1">
        <v>2394</v>
      </c>
      <c r="E67" s="1">
        <v>893</v>
      </c>
      <c r="F67" s="1">
        <v>3959</v>
      </c>
      <c r="G67" s="1">
        <v>4953</v>
      </c>
      <c r="H67" s="1">
        <v>6527</v>
      </c>
      <c r="I67" s="4">
        <v>56138</v>
      </c>
    </row>
    <row r="68" spans="1:9" x14ac:dyDescent="0.25">
      <c r="A68" s="3">
        <v>41456</v>
      </c>
      <c r="B68" s="1">
        <v>13995</v>
      </c>
      <c r="C68" s="1">
        <v>26852</v>
      </c>
      <c r="D68" s="1">
        <v>2693</v>
      </c>
      <c r="E68" s="1">
        <v>965</v>
      </c>
      <c r="F68" s="1">
        <v>4379</v>
      </c>
      <c r="G68" s="1">
        <v>5020</v>
      </c>
      <c r="H68" s="1">
        <v>6604</v>
      </c>
      <c r="I68" s="4">
        <v>65271</v>
      </c>
    </row>
    <row r="69" spans="1:9" x14ac:dyDescent="0.25">
      <c r="A69" s="3">
        <v>41487</v>
      </c>
      <c r="B69" s="1">
        <v>12505</v>
      </c>
      <c r="C69" s="1">
        <v>25714</v>
      </c>
      <c r="D69" s="1">
        <v>2590</v>
      </c>
      <c r="E69" s="1">
        <v>939</v>
      </c>
      <c r="F69" s="1">
        <v>4313</v>
      </c>
      <c r="G69" s="1">
        <v>4816</v>
      </c>
      <c r="H69" s="1">
        <v>6590</v>
      </c>
      <c r="I69" s="4">
        <v>68990</v>
      </c>
    </row>
    <row r="70" spans="1:9" x14ac:dyDescent="0.25">
      <c r="A70" s="3">
        <v>41518</v>
      </c>
      <c r="B70" s="1">
        <v>11841</v>
      </c>
      <c r="C70" s="1">
        <v>24870</v>
      </c>
      <c r="D70" s="1">
        <v>2460</v>
      </c>
      <c r="E70" s="1">
        <v>908</v>
      </c>
      <c r="F70" s="1">
        <v>3779</v>
      </c>
      <c r="G70" s="1">
        <v>4380</v>
      </c>
      <c r="H70" s="1">
        <v>6686</v>
      </c>
      <c r="I70" s="4">
        <v>62128</v>
      </c>
    </row>
    <row r="71" spans="1:9" x14ac:dyDescent="0.25">
      <c r="A71" s="3">
        <v>41548</v>
      </c>
      <c r="B71" s="1">
        <v>12959</v>
      </c>
      <c r="C71" s="1">
        <v>26978</v>
      </c>
      <c r="D71" s="1">
        <v>2437</v>
      </c>
      <c r="E71" s="1">
        <v>991</v>
      </c>
      <c r="F71" s="1">
        <v>4525</v>
      </c>
      <c r="G71" s="1">
        <v>4602</v>
      </c>
      <c r="H71" s="1">
        <v>7464</v>
      </c>
      <c r="I71" s="4">
        <v>67650</v>
      </c>
    </row>
    <row r="72" spans="1:9" x14ac:dyDescent="0.25">
      <c r="A72" s="3">
        <v>41579</v>
      </c>
      <c r="B72" s="1">
        <v>12804</v>
      </c>
      <c r="C72" s="1">
        <v>24961</v>
      </c>
      <c r="D72" s="1">
        <v>2407</v>
      </c>
      <c r="E72" s="1">
        <v>914</v>
      </c>
      <c r="F72" s="1">
        <v>4575</v>
      </c>
      <c r="G72" s="1">
        <v>4588</v>
      </c>
      <c r="H72" s="1">
        <v>8018</v>
      </c>
      <c r="I72" s="4">
        <v>71884</v>
      </c>
    </row>
    <row r="73" spans="1:9" x14ac:dyDescent="0.25">
      <c r="A73" s="3">
        <v>41609</v>
      </c>
      <c r="B73" s="1">
        <v>12669</v>
      </c>
      <c r="C73" s="1">
        <v>22961</v>
      </c>
      <c r="D73" s="1">
        <v>2038</v>
      </c>
      <c r="E73" s="1">
        <v>839</v>
      </c>
      <c r="F73" s="1">
        <v>3616</v>
      </c>
      <c r="G73" s="1">
        <v>4482</v>
      </c>
      <c r="H73" s="1">
        <v>7604</v>
      </c>
      <c r="I73" s="4">
        <v>68696</v>
      </c>
    </row>
    <row r="74" spans="1:9" x14ac:dyDescent="0.25">
      <c r="A74" s="3">
        <v>41640</v>
      </c>
      <c r="B74" s="1">
        <v>12741</v>
      </c>
      <c r="C74" s="1">
        <v>23285</v>
      </c>
      <c r="D74" s="1">
        <v>2165</v>
      </c>
      <c r="E74" s="1">
        <v>930</v>
      </c>
      <c r="F74" s="1">
        <v>4020</v>
      </c>
      <c r="G74" s="1">
        <v>4464</v>
      </c>
      <c r="H74" s="1">
        <v>7910</v>
      </c>
      <c r="I74" s="4">
        <v>59568</v>
      </c>
    </row>
    <row r="75" spans="1:9" x14ac:dyDescent="0.25">
      <c r="A75" s="3">
        <v>41671</v>
      </c>
      <c r="B75" s="1">
        <v>12057</v>
      </c>
      <c r="C75" s="1">
        <v>21715</v>
      </c>
      <c r="D75" s="1">
        <v>1878</v>
      </c>
      <c r="E75" s="1">
        <v>925</v>
      </c>
      <c r="F75" s="1">
        <v>3644</v>
      </c>
      <c r="G75" s="1">
        <v>4236</v>
      </c>
      <c r="H75" s="1">
        <v>6767</v>
      </c>
      <c r="I75" s="4">
        <v>57645</v>
      </c>
    </row>
    <row r="76" spans="1:9" x14ac:dyDescent="0.25">
      <c r="A76" s="3">
        <v>41699</v>
      </c>
      <c r="B76" s="1">
        <v>14396</v>
      </c>
      <c r="C76" s="1">
        <v>24404</v>
      </c>
      <c r="D76" s="1">
        <v>1877</v>
      </c>
      <c r="E76" s="1">
        <v>1088</v>
      </c>
      <c r="F76" s="1">
        <v>4338</v>
      </c>
      <c r="G76" s="1">
        <v>4846</v>
      </c>
      <c r="H76" s="1">
        <v>6720</v>
      </c>
      <c r="I76" s="4">
        <v>59558</v>
      </c>
    </row>
    <row r="77" spans="1:9" x14ac:dyDescent="0.25">
      <c r="A77" s="3">
        <v>41730</v>
      </c>
      <c r="B77" s="1">
        <v>13573</v>
      </c>
      <c r="C77" s="1">
        <v>22665</v>
      </c>
      <c r="D77" s="1">
        <v>1723</v>
      </c>
      <c r="E77" s="1">
        <v>1021</v>
      </c>
      <c r="F77" s="1">
        <v>3871</v>
      </c>
      <c r="G77" s="1">
        <v>4703</v>
      </c>
      <c r="H77" s="1">
        <v>5911</v>
      </c>
      <c r="I77" s="4">
        <v>61570</v>
      </c>
    </row>
    <row r="78" spans="1:9" x14ac:dyDescent="0.25">
      <c r="A78" s="3">
        <v>41760</v>
      </c>
      <c r="B78" s="1">
        <v>15346</v>
      </c>
      <c r="C78" s="1">
        <v>23357</v>
      </c>
      <c r="D78" s="1">
        <v>1814</v>
      </c>
      <c r="E78" s="1">
        <v>1105</v>
      </c>
      <c r="F78" s="1">
        <v>3928</v>
      </c>
      <c r="G78" s="1">
        <v>4945</v>
      </c>
      <c r="H78" s="1">
        <v>5832</v>
      </c>
      <c r="I78" s="4">
        <v>65719</v>
      </c>
    </row>
    <row r="79" spans="1:9" x14ac:dyDescent="0.25">
      <c r="A79" s="3">
        <v>41791</v>
      </c>
      <c r="B79" s="1">
        <v>16481</v>
      </c>
      <c r="C79" s="1">
        <v>23441</v>
      </c>
      <c r="D79" s="1">
        <v>1842</v>
      </c>
      <c r="E79" s="1">
        <v>1011</v>
      </c>
      <c r="F79" s="1">
        <v>3763</v>
      </c>
      <c r="G79" s="1">
        <v>5110</v>
      </c>
      <c r="H79" s="1">
        <v>5391</v>
      </c>
      <c r="I79" s="4">
        <v>68633</v>
      </c>
    </row>
    <row r="80" spans="1:9" x14ac:dyDescent="0.25">
      <c r="A80" s="3">
        <v>41821</v>
      </c>
      <c r="B80" s="1">
        <v>17432</v>
      </c>
      <c r="C80" s="1">
        <v>23660</v>
      </c>
      <c r="D80" s="1">
        <v>1687</v>
      </c>
      <c r="E80" s="1">
        <v>1257</v>
      </c>
      <c r="F80" s="1">
        <v>3663</v>
      </c>
      <c r="G80" s="1">
        <v>5164</v>
      </c>
      <c r="H80" s="1">
        <v>5701</v>
      </c>
      <c r="I80" s="4">
        <v>72812</v>
      </c>
    </row>
    <row r="81" spans="1:9" x14ac:dyDescent="0.25">
      <c r="A81" s="3">
        <v>41852</v>
      </c>
      <c r="B81" s="1">
        <v>15803</v>
      </c>
      <c r="C81" s="1">
        <v>22639</v>
      </c>
      <c r="D81" s="1">
        <v>1744</v>
      </c>
      <c r="E81" s="1">
        <v>1068</v>
      </c>
      <c r="F81" s="1">
        <v>3569</v>
      </c>
      <c r="G81" s="1">
        <v>4925</v>
      </c>
      <c r="H81" s="1">
        <v>5893</v>
      </c>
      <c r="I81" s="4">
        <v>73870</v>
      </c>
    </row>
    <row r="82" spans="1:9" x14ac:dyDescent="0.25">
      <c r="A82" s="3">
        <v>41883</v>
      </c>
      <c r="B82" s="1">
        <v>16745</v>
      </c>
      <c r="C82" s="1">
        <v>23161</v>
      </c>
      <c r="D82" s="1">
        <v>1743</v>
      </c>
      <c r="E82" s="1">
        <v>1245</v>
      </c>
      <c r="F82" s="1">
        <v>3177</v>
      </c>
      <c r="G82" s="1">
        <v>5095</v>
      </c>
      <c r="H82" s="1">
        <v>5767</v>
      </c>
      <c r="I82" s="4">
        <v>67642</v>
      </c>
    </row>
    <row r="83" spans="1:9" x14ac:dyDescent="0.25">
      <c r="A83" s="3">
        <v>41913</v>
      </c>
      <c r="B83" s="1">
        <v>17297</v>
      </c>
      <c r="C83" s="1">
        <v>24507</v>
      </c>
      <c r="D83" s="1">
        <v>1941</v>
      </c>
      <c r="E83" s="1">
        <v>1147</v>
      </c>
      <c r="F83" s="1">
        <v>3671</v>
      </c>
      <c r="G83" s="1">
        <v>5491</v>
      </c>
      <c r="H83" s="1">
        <v>6483</v>
      </c>
      <c r="I83" s="4">
        <v>72234</v>
      </c>
    </row>
    <row r="84" spans="1:9" x14ac:dyDescent="0.25">
      <c r="A84" s="3">
        <v>41944</v>
      </c>
      <c r="B84" s="1">
        <v>17093</v>
      </c>
      <c r="C84" s="1">
        <v>23729</v>
      </c>
      <c r="D84" s="1">
        <v>1888</v>
      </c>
      <c r="E84" s="1">
        <v>1166</v>
      </c>
      <c r="F84" s="1">
        <v>3674</v>
      </c>
      <c r="G84" s="1">
        <v>5281</v>
      </c>
      <c r="H84" s="1">
        <v>6873</v>
      </c>
      <c r="I84" s="4">
        <v>61284</v>
      </c>
    </row>
    <row r="85" spans="1:9" x14ac:dyDescent="0.25">
      <c r="A85" s="3">
        <v>41974</v>
      </c>
      <c r="B85" s="1">
        <v>16385</v>
      </c>
      <c r="C85" s="1">
        <v>23317</v>
      </c>
      <c r="D85" s="1">
        <v>1848</v>
      </c>
      <c r="E85" s="1">
        <v>1074</v>
      </c>
      <c r="F85" s="1">
        <v>3117</v>
      </c>
      <c r="G85" s="1">
        <v>5019</v>
      </c>
      <c r="H85" s="1">
        <v>6805</v>
      </c>
      <c r="I85" s="4">
        <v>65590</v>
      </c>
    </row>
    <row r="86" spans="1:9" x14ac:dyDescent="0.25">
      <c r="A86" s="3">
        <v>42005</v>
      </c>
      <c r="B86" s="1">
        <v>16187</v>
      </c>
      <c r="C86" s="1">
        <v>22985</v>
      </c>
      <c r="D86" s="1">
        <v>1795</v>
      </c>
      <c r="E86" s="1">
        <v>1054</v>
      </c>
      <c r="F86" s="1">
        <v>3690</v>
      </c>
      <c r="G86" s="1">
        <v>4823</v>
      </c>
      <c r="H86" s="1">
        <v>6521</v>
      </c>
      <c r="I86" s="4">
        <v>50914</v>
      </c>
    </row>
    <row r="87" spans="1:9" x14ac:dyDescent="0.25">
      <c r="A87" s="3">
        <v>42036</v>
      </c>
      <c r="B87" s="1">
        <v>15458</v>
      </c>
      <c r="C87" s="1">
        <v>21243</v>
      </c>
      <c r="D87" s="1">
        <v>1644</v>
      </c>
      <c r="E87" s="1">
        <v>1067</v>
      </c>
      <c r="F87" s="1">
        <v>3302</v>
      </c>
      <c r="G87" s="1">
        <v>4628</v>
      </c>
      <c r="H87" s="1">
        <v>5974</v>
      </c>
      <c r="I87" s="4">
        <v>50616</v>
      </c>
    </row>
    <row r="88" spans="1:9" x14ac:dyDescent="0.25">
      <c r="A88" s="3">
        <v>42064</v>
      </c>
      <c r="B88" s="1">
        <v>17660</v>
      </c>
      <c r="C88" s="1">
        <v>24490</v>
      </c>
      <c r="D88" s="1">
        <v>1862</v>
      </c>
      <c r="E88" s="1">
        <v>1147</v>
      </c>
      <c r="F88" s="1">
        <v>3237</v>
      </c>
      <c r="G88" s="1">
        <v>5364</v>
      </c>
      <c r="H88" s="1">
        <v>6336</v>
      </c>
      <c r="I88" s="4">
        <v>57058</v>
      </c>
    </row>
    <row r="89" spans="1:9" x14ac:dyDescent="0.25">
      <c r="A89" s="3">
        <v>42095</v>
      </c>
      <c r="B89" s="1">
        <v>16579</v>
      </c>
      <c r="C89" s="1">
        <v>23171</v>
      </c>
      <c r="D89" s="1">
        <v>1782</v>
      </c>
      <c r="E89" s="1">
        <v>1135</v>
      </c>
      <c r="F89" s="1">
        <v>3057</v>
      </c>
      <c r="G89" s="1">
        <v>5284</v>
      </c>
      <c r="H89" s="1">
        <v>5437</v>
      </c>
      <c r="I89" s="4">
        <v>54602</v>
      </c>
    </row>
    <row r="90" spans="1:9" x14ac:dyDescent="0.25">
      <c r="A90" s="3">
        <v>42125</v>
      </c>
      <c r="B90" s="1">
        <v>18982</v>
      </c>
      <c r="C90" s="1">
        <v>24818</v>
      </c>
      <c r="D90" s="1">
        <v>1889</v>
      </c>
      <c r="E90" s="1">
        <v>1169</v>
      </c>
      <c r="F90" s="1">
        <v>3082</v>
      </c>
      <c r="G90" s="1">
        <v>5539</v>
      </c>
      <c r="H90" s="1">
        <v>5559</v>
      </c>
      <c r="I90" s="4">
        <v>61003</v>
      </c>
    </row>
    <row r="91" spans="1:9" x14ac:dyDescent="0.25">
      <c r="A91" s="3">
        <v>42156</v>
      </c>
      <c r="B91" s="1">
        <v>19155</v>
      </c>
      <c r="C91" s="1">
        <v>24628</v>
      </c>
      <c r="D91" s="1">
        <v>1711</v>
      </c>
      <c r="E91" s="1">
        <v>1268</v>
      </c>
      <c r="F91" s="1">
        <v>3248</v>
      </c>
      <c r="G91" s="1">
        <v>5461</v>
      </c>
      <c r="H91" s="1">
        <v>5289</v>
      </c>
      <c r="I91" s="4">
        <v>71022</v>
      </c>
    </row>
    <row r="92" spans="1:9" x14ac:dyDescent="0.25">
      <c r="A92" s="3">
        <v>42186</v>
      </c>
      <c r="B92" s="1">
        <v>19738</v>
      </c>
      <c r="C92" s="1">
        <v>24324</v>
      </c>
      <c r="D92" s="1">
        <v>1789</v>
      </c>
      <c r="E92" s="1">
        <v>1291</v>
      </c>
      <c r="F92" s="1">
        <v>3467</v>
      </c>
      <c r="G92" s="1">
        <v>5597</v>
      </c>
      <c r="H92" s="1">
        <v>5400</v>
      </c>
      <c r="I92" s="4">
        <v>77860</v>
      </c>
    </row>
    <row r="93" spans="1:9" x14ac:dyDescent="0.25">
      <c r="A93" s="3">
        <v>42217</v>
      </c>
      <c r="B93" s="1">
        <v>18478</v>
      </c>
      <c r="C93" s="1">
        <v>22611</v>
      </c>
      <c r="D93" s="1">
        <v>1758</v>
      </c>
      <c r="E93" s="1">
        <v>1223</v>
      </c>
      <c r="F93" s="1">
        <v>3451</v>
      </c>
      <c r="G93" s="1">
        <v>5163</v>
      </c>
      <c r="H93" s="1">
        <v>5372</v>
      </c>
      <c r="I93" s="4">
        <v>70037</v>
      </c>
    </row>
    <row r="94" spans="1:9" x14ac:dyDescent="0.25">
      <c r="A94" s="3">
        <v>42248</v>
      </c>
      <c r="B94" s="1">
        <v>18290</v>
      </c>
      <c r="C94" s="1">
        <v>22602</v>
      </c>
      <c r="D94" s="1">
        <v>1721</v>
      </c>
      <c r="E94" s="1">
        <v>1266</v>
      </c>
      <c r="F94" s="1">
        <v>3363</v>
      </c>
      <c r="G94" s="1">
        <v>4903</v>
      </c>
      <c r="H94" s="1">
        <v>5419</v>
      </c>
      <c r="I94" s="4">
        <v>70028</v>
      </c>
    </row>
    <row r="95" spans="1:9" x14ac:dyDescent="0.25">
      <c r="A95" s="3">
        <v>42278</v>
      </c>
      <c r="B95" s="1">
        <v>19873</v>
      </c>
      <c r="C95" s="1">
        <v>24475</v>
      </c>
      <c r="D95" s="1">
        <v>1812</v>
      </c>
      <c r="E95" s="1">
        <v>1259</v>
      </c>
      <c r="F95" s="1">
        <v>3618</v>
      </c>
      <c r="G95" s="1">
        <v>5383</v>
      </c>
      <c r="H95" s="1">
        <v>5941</v>
      </c>
      <c r="I95" s="4">
        <v>74213</v>
      </c>
    </row>
    <row r="96" spans="1:9" x14ac:dyDescent="0.25">
      <c r="A96" s="3">
        <v>42309</v>
      </c>
      <c r="B96" s="1">
        <v>19259</v>
      </c>
      <c r="C96" s="1">
        <v>24719</v>
      </c>
      <c r="D96" s="1">
        <v>1864</v>
      </c>
      <c r="E96" s="1">
        <v>1196</v>
      </c>
      <c r="F96" s="1">
        <v>3231</v>
      </c>
      <c r="G96" s="1">
        <v>5435</v>
      </c>
      <c r="H96" s="1">
        <v>6783</v>
      </c>
      <c r="I96" s="4">
        <v>66359</v>
      </c>
    </row>
    <row r="97" spans="1:9" x14ac:dyDescent="0.25">
      <c r="A97" s="3">
        <v>42339</v>
      </c>
      <c r="B97" s="1">
        <v>19081</v>
      </c>
      <c r="C97" s="1">
        <v>23956</v>
      </c>
      <c r="D97" s="1">
        <v>1756</v>
      </c>
      <c r="E97" s="1">
        <v>1154</v>
      </c>
      <c r="F97" s="1">
        <v>3039</v>
      </c>
      <c r="G97" s="1">
        <v>5396</v>
      </c>
      <c r="H97" s="1">
        <v>6458</v>
      </c>
      <c r="I97" s="4">
        <v>66746</v>
      </c>
    </row>
    <row r="98" spans="1:9" x14ac:dyDescent="0.25">
      <c r="A98" s="3">
        <v>42370</v>
      </c>
      <c r="B98" s="1">
        <v>18266</v>
      </c>
      <c r="C98" s="1">
        <v>22316</v>
      </c>
      <c r="D98" s="1">
        <v>1810</v>
      </c>
      <c r="E98" s="1">
        <v>1276</v>
      </c>
      <c r="F98" s="1">
        <v>3828</v>
      </c>
      <c r="G98" s="1">
        <v>5049</v>
      </c>
      <c r="H98" s="1">
        <v>6302</v>
      </c>
      <c r="I98" s="4">
        <v>51950</v>
      </c>
    </row>
    <row r="99" spans="1:9" x14ac:dyDescent="0.25">
      <c r="A99" s="3">
        <v>42401</v>
      </c>
      <c r="B99" s="1">
        <v>17642</v>
      </c>
      <c r="C99" s="1">
        <v>22028</v>
      </c>
      <c r="D99" s="1">
        <v>1646</v>
      </c>
      <c r="E99" s="1">
        <v>1133</v>
      </c>
      <c r="F99" s="1">
        <v>3397</v>
      </c>
      <c r="G99" s="1">
        <v>5010</v>
      </c>
      <c r="H99" s="1">
        <v>5841</v>
      </c>
      <c r="I99" s="4">
        <v>55385</v>
      </c>
    </row>
    <row r="100" spans="1:9" x14ac:dyDescent="0.25">
      <c r="A100" s="3">
        <v>42430</v>
      </c>
      <c r="B100" s="1">
        <v>18863</v>
      </c>
      <c r="C100" s="1">
        <v>23117</v>
      </c>
      <c r="D100" s="1">
        <v>1711</v>
      </c>
      <c r="E100" s="1">
        <v>1256</v>
      </c>
      <c r="F100" s="1">
        <v>3324</v>
      </c>
      <c r="G100" s="1">
        <v>5092</v>
      </c>
      <c r="H100" s="1">
        <v>5804</v>
      </c>
      <c r="I100" s="4">
        <v>107610</v>
      </c>
    </row>
    <row r="101" spans="1:9" x14ac:dyDescent="0.25">
      <c r="A101" s="3">
        <v>42461</v>
      </c>
      <c r="B101" s="1">
        <v>18668</v>
      </c>
      <c r="C101" s="1">
        <v>23149</v>
      </c>
      <c r="D101" s="1">
        <v>1570</v>
      </c>
      <c r="E101" s="1">
        <v>1302</v>
      </c>
      <c r="F101" s="1">
        <v>3389</v>
      </c>
      <c r="G101" s="1">
        <v>5224</v>
      </c>
      <c r="H101" s="1">
        <v>5335</v>
      </c>
      <c r="I101" s="4">
        <v>41972</v>
      </c>
    </row>
    <row r="102" spans="1:9" x14ac:dyDescent="0.25">
      <c r="A102" s="3">
        <v>42491</v>
      </c>
      <c r="B102" s="1">
        <v>20639</v>
      </c>
      <c r="C102" s="1">
        <v>25374</v>
      </c>
      <c r="D102" s="1">
        <v>1787</v>
      </c>
      <c r="E102" s="1">
        <v>1543</v>
      </c>
      <c r="F102" s="1">
        <v>3276</v>
      </c>
      <c r="G102" s="1">
        <v>5967</v>
      </c>
      <c r="H102" s="1">
        <v>5404</v>
      </c>
      <c r="I102" s="4">
        <v>48164</v>
      </c>
    </row>
    <row r="103" spans="1:9" x14ac:dyDescent="0.25">
      <c r="A103" s="3">
        <v>42522</v>
      </c>
      <c r="B103" s="1">
        <v>20463</v>
      </c>
      <c r="C103" s="1">
        <v>24722</v>
      </c>
      <c r="D103" s="1">
        <v>1885</v>
      </c>
      <c r="E103" s="1">
        <v>1432</v>
      </c>
      <c r="F103" s="1">
        <v>3041</v>
      </c>
      <c r="G103" s="1">
        <v>5338</v>
      </c>
      <c r="H103" s="1">
        <v>5381</v>
      </c>
      <c r="I103" s="4">
        <v>60519</v>
      </c>
    </row>
    <row r="104" spans="1:9" x14ac:dyDescent="0.25">
      <c r="A104" s="3">
        <v>42552</v>
      </c>
      <c r="B104" s="1">
        <v>21733</v>
      </c>
      <c r="C104" s="1">
        <v>25837</v>
      </c>
      <c r="D104" s="1">
        <v>1960</v>
      </c>
      <c r="E104" s="1">
        <v>1457</v>
      </c>
      <c r="F104" s="1">
        <v>3372</v>
      </c>
      <c r="G104" s="1">
        <v>5773</v>
      </c>
      <c r="H104" s="1">
        <v>5387</v>
      </c>
      <c r="I104" s="4">
        <v>63760</v>
      </c>
    </row>
    <row r="105" spans="1:9" x14ac:dyDescent="0.25">
      <c r="A105" s="3">
        <v>42583</v>
      </c>
      <c r="B105" s="1">
        <v>19762</v>
      </c>
      <c r="C105" s="1">
        <v>25176</v>
      </c>
      <c r="D105" s="1">
        <v>1910</v>
      </c>
      <c r="E105" s="1">
        <v>1386</v>
      </c>
      <c r="F105" s="1">
        <v>3442</v>
      </c>
      <c r="G105" s="1">
        <v>5584</v>
      </c>
      <c r="H105" s="1">
        <v>5406</v>
      </c>
      <c r="I105" s="4">
        <v>63514</v>
      </c>
    </row>
    <row r="106" spans="1:9" x14ac:dyDescent="0.25">
      <c r="A106" s="3">
        <v>42614</v>
      </c>
      <c r="B106" s="1">
        <v>19534</v>
      </c>
      <c r="C106" s="1">
        <v>24999</v>
      </c>
      <c r="D106" s="1">
        <v>1980</v>
      </c>
      <c r="E106" s="1">
        <v>1318</v>
      </c>
      <c r="F106" s="1">
        <v>3091</v>
      </c>
      <c r="G106" s="1">
        <v>5210</v>
      </c>
      <c r="H106" s="1">
        <v>5280</v>
      </c>
      <c r="I106" s="4">
        <v>60962</v>
      </c>
    </row>
    <row r="107" spans="1:9" x14ac:dyDescent="0.25">
      <c r="A107" s="3">
        <v>42644</v>
      </c>
      <c r="B107" s="1">
        <v>19588</v>
      </c>
      <c r="C107" s="1">
        <v>26303</v>
      </c>
      <c r="D107" s="1">
        <v>2048</v>
      </c>
      <c r="E107" s="1">
        <v>1331</v>
      </c>
      <c r="F107" s="1">
        <v>3204</v>
      </c>
      <c r="G107" s="1">
        <v>5456</v>
      </c>
      <c r="H107" s="1">
        <v>5475</v>
      </c>
      <c r="I107" s="4">
        <v>58015</v>
      </c>
    </row>
    <row r="108" spans="1:9" x14ac:dyDescent="0.25">
      <c r="A108" s="3">
        <v>42675</v>
      </c>
      <c r="B108" s="1">
        <v>18441</v>
      </c>
      <c r="C108" s="1">
        <v>25384</v>
      </c>
      <c r="D108" s="1">
        <v>1983</v>
      </c>
      <c r="E108" s="1">
        <v>1204</v>
      </c>
      <c r="F108" s="1">
        <v>2894</v>
      </c>
      <c r="G108" s="1">
        <v>5092</v>
      </c>
      <c r="H108" s="1">
        <v>6066</v>
      </c>
      <c r="I108" s="4">
        <v>59633</v>
      </c>
    </row>
    <row r="109" spans="1:9" x14ac:dyDescent="0.25">
      <c r="A109" s="3">
        <v>42705</v>
      </c>
      <c r="B109" s="1">
        <v>18782</v>
      </c>
      <c r="C109" s="1">
        <v>25728</v>
      </c>
      <c r="D109" s="1">
        <v>2238</v>
      </c>
      <c r="E109" s="1">
        <v>1171</v>
      </c>
      <c r="F109" s="1">
        <v>2656</v>
      </c>
      <c r="G109" s="1">
        <v>5276</v>
      </c>
      <c r="H109" s="1">
        <v>6604</v>
      </c>
      <c r="I109" s="4">
        <v>63737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5FFED-F14E-4CFF-82E6-5E98F2F55461}">
  <dimension ref="A1:R139"/>
  <sheetViews>
    <sheetView workbookViewId="0">
      <selection activeCell="K27" sqref="K27"/>
    </sheetView>
  </sheetViews>
  <sheetFormatPr defaultRowHeight="15" x14ac:dyDescent="0.25"/>
  <cols>
    <col min="1" max="1" width="7.5703125" bestFit="1" customWidth="1"/>
    <col min="2" max="2" width="26.42578125" bestFit="1" customWidth="1"/>
    <col min="3" max="3" width="18" bestFit="1" customWidth="1"/>
    <col min="4" max="4" width="8.42578125" bestFit="1" customWidth="1"/>
    <col min="5" max="5" width="6" bestFit="1" customWidth="1"/>
    <col min="6" max="6" width="16.140625" bestFit="1" customWidth="1"/>
    <col min="7" max="7" width="8.28515625" bestFit="1" customWidth="1"/>
    <col min="8" max="8" width="22.140625" bestFit="1" customWidth="1"/>
    <col min="10" max="10" width="26.42578125" bestFit="1" customWidth="1"/>
  </cols>
  <sheetData>
    <row r="1" spans="1:15" x14ac:dyDescent="0.25">
      <c r="A1" s="2" t="s">
        <v>0</v>
      </c>
      <c r="B1" s="2" t="s">
        <v>7</v>
      </c>
      <c r="C1" s="2" t="s">
        <v>6</v>
      </c>
      <c r="D1" s="2" t="s">
        <v>5</v>
      </c>
      <c r="E1" s="2" t="s">
        <v>3</v>
      </c>
      <c r="F1" s="2" t="s">
        <v>2</v>
      </c>
      <c r="G1" s="2" t="s">
        <v>1</v>
      </c>
      <c r="H1" s="2" t="s">
        <v>8</v>
      </c>
    </row>
    <row r="2" spans="1:15" x14ac:dyDescent="0.25">
      <c r="A2" s="3">
        <v>39448</v>
      </c>
      <c r="B2" s="1">
        <v>12719</v>
      </c>
      <c r="C2" s="1">
        <v>24014</v>
      </c>
      <c r="D2" s="1">
        <v>2887</v>
      </c>
      <c r="E2" s="1">
        <v>5230</v>
      </c>
      <c r="F2" s="1">
        <v>8061</v>
      </c>
      <c r="G2" s="1">
        <v>8396</v>
      </c>
      <c r="H2" s="4">
        <v>51461</v>
      </c>
    </row>
    <row r="3" spans="1:15" x14ac:dyDescent="0.25">
      <c r="A3" s="3">
        <v>39479</v>
      </c>
      <c r="B3" s="1">
        <v>12123</v>
      </c>
      <c r="C3" s="1">
        <v>22980</v>
      </c>
      <c r="D3" s="1">
        <v>2455</v>
      </c>
      <c r="E3" s="1">
        <v>6071</v>
      </c>
      <c r="F3" s="1">
        <v>7677</v>
      </c>
      <c r="G3" s="1">
        <v>7296</v>
      </c>
      <c r="H3" s="4">
        <v>53832</v>
      </c>
      <c r="J3" t="s">
        <v>9</v>
      </c>
    </row>
    <row r="4" spans="1:15" ht="15.75" thickBot="1" x14ac:dyDescent="0.3">
      <c r="A4" s="3">
        <v>39508</v>
      </c>
      <c r="B4" s="1">
        <v>13244</v>
      </c>
      <c r="C4" s="1">
        <v>23632</v>
      </c>
      <c r="D4" s="1">
        <v>2585</v>
      </c>
      <c r="E4" s="1">
        <v>5769</v>
      </c>
      <c r="F4" s="1">
        <v>7818</v>
      </c>
      <c r="G4" s="1">
        <v>7485</v>
      </c>
      <c r="H4" s="4">
        <v>50014</v>
      </c>
    </row>
    <row r="5" spans="1:15" x14ac:dyDescent="0.25">
      <c r="A5" s="3">
        <v>39539</v>
      </c>
      <c r="B5" s="1">
        <v>12590</v>
      </c>
      <c r="C5" s="1">
        <v>23660</v>
      </c>
      <c r="D5" s="1">
        <v>2498</v>
      </c>
      <c r="E5" s="1">
        <v>5158</v>
      </c>
      <c r="F5" s="1">
        <v>8113</v>
      </c>
      <c r="G5" s="1">
        <v>6827</v>
      </c>
      <c r="H5" s="4">
        <v>52480</v>
      </c>
      <c r="J5" s="13" t="s">
        <v>10</v>
      </c>
      <c r="K5" s="13"/>
    </row>
    <row r="6" spans="1:15" x14ac:dyDescent="0.25">
      <c r="A6" s="3">
        <v>39569</v>
      </c>
      <c r="B6" s="1">
        <v>14577</v>
      </c>
      <c r="C6" s="1">
        <v>23695</v>
      </c>
      <c r="D6" s="1">
        <v>2490</v>
      </c>
      <c r="E6" s="1">
        <v>5868</v>
      </c>
      <c r="F6" s="1">
        <v>8273</v>
      </c>
      <c r="G6" s="1">
        <v>6889</v>
      </c>
      <c r="H6" s="4">
        <v>53707</v>
      </c>
      <c r="J6" s="10" t="s">
        <v>11</v>
      </c>
      <c r="K6" s="10">
        <v>0.68586727005697001</v>
      </c>
    </row>
    <row r="7" spans="1:15" x14ac:dyDescent="0.25">
      <c r="A7" s="3">
        <v>39600</v>
      </c>
      <c r="B7" s="1">
        <v>14751</v>
      </c>
      <c r="C7" s="1">
        <v>23794</v>
      </c>
      <c r="D7" s="1">
        <v>2448</v>
      </c>
      <c r="E7" s="1">
        <v>5366</v>
      </c>
      <c r="F7" s="1">
        <v>7981</v>
      </c>
      <c r="G7" s="1">
        <v>6989</v>
      </c>
      <c r="H7" s="4">
        <v>48965</v>
      </c>
      <c r="J7" s="10" t="s">
        <v>12</v>
      </c>
      <c r="K7" s="10">
        <v>0.47041391213540068</v>
      </c>
    </row>
    <row r="8" spans="1:15" x14ac:dyDescent="0.25">
      <c r="A8" s="3">
        <v>39630</v>
      </c>
      <c r="B8" s="1">
        <v>15096</v>
      </c>
      <c r="C8" s="1">
        <v>24814</v>
      </c>
      <c r="D8" s="1">
        <v>2390</v>
      </c>
      <c r="E8" s="1">
        <v>6062</v>
      </c>
      <c r="F8" s="1">
        <v>7872</v>
      </c>
      <c r="G8" s="1">
        <v>6983</v>
      </c>
      <c r="H8" s="4">
        <v>44580</v>
      </c>
      <c r="J8" s="10" t="s">
        <v>13</v>
      </c>
      <c r="K8" s="10">
        <v>0.43895335246027595</v>
      </c>
    </row>
    <row r="9" spans="1:15" x14ac:dyDescent="0.25">
      <c r="A9" s="3">
        <v>39661</v>
      </c>
      <c r="B9" s="1">
        <v>13394</v>
      </c>
      <c r="C9" s="1">
        <v>22791</v>
      </c>
      <c r="D9" s="1">
        <v>2275</v>
      </c>
      <c r="E9" s="1">
        <v>5971</v>
      </c>
      <c r="F9" s="1">
        <v>7476</v>
      </c>
      <c r="G9" s="1">
        <v>7163</v>
      </c>
      <c r="H9" s="4">
        <v>40160</v>
      </c>
      <c r="J9" s="10" t="s">
        <v>14</v>
      </c>
      <c r="K9" s="10">
        <v>9802.9115005256172</v>
      </c>
    </row>
    <row r="10" spans="1:15" ht="15.75" thickBot="1" x14ac:dyDescent="0.3">
      <c r="A10" s="3">
        <v>39692</v>
      </c>
      <c r="B10" s="1">
        <v>12760</v>
      </c>
      <c r="C10" s="1">
        <v>22738</v>
      </c>
      <c r="D10" s="1">
        <v>2206</v>
      </c>
      <c r="E10" s="1">
        <v>5815</v>
      </c>
      <c r="F10" s="1">
        <v>7367</v>
      </c>
      <c r="G10" s="1">
        <v>6607</v>
      </c>
      <c r="H10" s="4">
        <v>34534</v>
      </c>
      <c r="J10" s="11" t="s">
        <v>15</v>
      </c>
      <c r="K10" s="11">
        <v>108</v>
      </c>
    </row>
    <row r="11" spans="1:15" x14ac:dyDescent="0.25">
      <c r="A11" s="3">
        <v>39722</v>
      </c>
      <c r="B11" s="1">
        <v>13389</v>
      </c>
      <c r="C11" s="1">
        <v>25478</v>
      </c>
      <c r="D11" s="1">
        <v>2520</v>
      </c>
      <c r="E11" s="1">
        <v>6334</v>
      </c>
      <c r="F11" s="1">
        <v>7517</v>
      </c>
      <c r="G11" s="1">
        <v>7229</v>
      </c>
      <c r="H11" s="4">
        <v>35822</v>
      </c>
    </row>
    <row r="12" spans="1:15" ht="15.75" thickBot="1" x14ac:dyDescent="0.3">
      <c r="A12" s="3">
        <v>39753</v>
      </c>
      <c r="B12" s="1">
        <v>13069</v>
      </c>
      <c r="C12" s="1">
        <v>24008</v>
      </c>
      <c r="D12" s="1">
        <v>2588</v>
      </c>
      <c r="E12" s="1">
        <v>6034</v>
      </c>
      <c r="F12" s="1">
        <v>7048</v>
      </c>
      <c r="G12" s="1">
        <v>7759</v>
      </c>
      <c r="H12" s="4">
        <v>28740</v>
      </c>
      <c r="J12" t="s">
        <v>16</v>
      </c>
    </row>
    <row r="13" spans="1:15" x14ac:dyDescent="0.25">
      <c r="A13" s="3">
        <v>39783</v>
      </c>
      <c r="B13" s="1">
        <v>12132</v>
      </c>
      <c r="C13" s="1">
        <v>22088</v>
      </c>
      <c r="D13" s="1">
        <v>2285</v>
      </c>
      <c r="E13" s="1">
        <v>5126</v>
      </c>
      <c r="F13" s="1">
        <v>6669</v>
      </c>
      <c r="G13" s="1">
        <v>8469</v>
      </c>
      <c r="H13" s="4">
        <v>31851</v>
      </c>
      <c r="J13" s="12"/>
      <c r="K13" s="12" t="s">
        <v>21</v>
      </c>
      <c r="L13" s="12" t="s">
        <v>22</v>
      </c>
      <c r="M13" s="12" t="s">
        <v>23</v>
      </c>
      <c r="N13" s="12" t="s">
        <v>24</v>
      </c>
      <c r="O13" s="12" t="s">
        <v>25</v>
      </c>
    </row>
    <row r="14" spans="1:15" x14ac:dyDescent="0.25">
      <c r="A14" s="3">
        <v>39814</v>
      </c>
      <c r="B14" s="1">
        <v>12542</v>
      </c>
      <c r="C14" s="1">
        <v>22332</v>
      </c>
      <c r="D14" s="1">
        <v>2592</v>
      </c>
      <c r="E14" s="1">
        <v>5287</v>
      </c>
      <c r="F14" s="1">
        <v>6866</v>
      </c>
      <c r="G14" s="1">
        <v>8662</v>
      </c>
      <c r="H14" s="4">
        <v>22242</v>
      </c>
      <c r="J14" s="10" t="s">
        <v>17</v>
      </c>
      <c r="K14" s="10">
        <v>6</v>
      </c>
      <c r="L14" s="10">
        <v>8621347033.6491261</v>
      </c>
      <c r="M14" s="10">
        <v>1436891172.2748544</v>
      </c>
      <c r="N14" s="10">
        <v>14.952496617768322</v>
      </c>
      <c r="O14" s="10">
        <v>3.5782230768874414E-12</v>
      </c>
    </row>
    <row r="15" spans="1:15" x14ac:dyDescent="0.25">
      <c r="A15" s="3">
        <v>39845</v>
      </c>
      <c r="B15" s="1">
        <v>12055</v>
      </c>
      <c r="C15" s="1">
        <v>20819</v>
      </c>
      <c r="D15" s="1">
        <v>2349</v>
      </c>
      <c r="E15" s="1">
        <v>5016</v>
      </c>
      <c r="F15" s="1">
        <v>6585</v>
      </c>
      <c r="G15" s="1">
        <v>7107</v>
      </c>
      <c r="H15" s="4">
        <v>22378</v>
      </c>
      <c r="J15" s="10" t="s">
        <v>18</v>
      </c>
      <c r="K15" s="10">
        <v>101</v>
      </c>
      <c r="L15" s="10">
        <v>9705804462.6008778</v>
      </c>
      <c r="M15" s="10">
        <v>96097073.887137398</v>
      </c>
      <c r="N15" s="10"/>
      <c r="O15" s="10"/>
    </row>
    <row r="16" spans="1:15" ht="15.75" thickBot="1" x14ac:dyDescent="0.3">
      <c r="A16" s="3">
        <v>39873</v>
      </c>
      <c r="B16" s="1">
        <v>13961</v>
      </c>
      <c r="C16" s="1">
        <v>24219</v>
      </c>
      <c r="D16" s="1">
        <v>2612</v>
      </c>
      <c r="E16" s="1">
        <v>5718</v>
      </c>
      <c r="F16" s="1">
        <v>7867</v>
      </c>
      <c r="G16" s="1">
        <v>8143</v>
      </c>
      <c r="H16" s="4">
        <v>28958</v>
      </c>
      <c r="J16" s="11" t="s">
        <v>19</v>
      </c>
      <c r="K16" s="11">
        <v>107</v>
      </c>
      <c r="L16" s="11">
        <v>18327151496.250004</v>
      </c>
      <c r="M16" s="11"/>
      <c r="N16" s="11"/>
      <c r="O16" s="11"/>
    </row>
    <row r="17" spans="1:18" ht="15.75" thickBot="1" x14ac:dyDescent="0.3">
      <c r="A17" s="3">
        <v>39904</v>
      </c>
      <c r="B17" s="1">
        <v>13062</v>
      </c>
      <c r="C17" s="1">
        <v>23403</v>
      </c>
      <c r="D17" s="1">
        <v>2589</v>
      </c>
      <c r="E17" s="1">
        <v>4033</v>
      </c>
      <c r="F17" s="1">
        <v>7873</v>
      </c>
      <c r="G17" s="1">
        <v>7309</v>
      </c>
      <c r="H17" s="4">
        <v>31111</v>
      </c>
    </row>
    <row r="18" spans="1:18" x14ac:dyDescent="0.25">
      <c r="A18" s="3">
        <v>39934</v>
      </c>
      <c r="B18" s="1">
        <v>14591</v>
      </c>
      <c r="C18" s="1">
        <v>24439</v>
      </c>
      <c r="D18" s="1">
        <v>2707</v>
      </c>
      <c r="E18" s="1">
        <v>4462</v>
      </c>
      <c r="F18" s="1">
        <v>8237</v>
      </c>
      <c r="G18" s="1">
        <v>7571</v>
      </c>
      <c r="H18" s="4">
        <v>36274</v>
      </c>
      <c r="J18" s="12"/>
      <c r="K18" s="12" t="s">
        <v>26</v>
      </c>
      <c r="L18" s="12" t="s">
        <v>14</v>
      </c>
      <c r="M18" s="12" t="s">
        <v>27</v>
      </c>
      <c r="N18" s="12" t="s">
        <v>28</v>
      </c>
      <c r="O18" s="12" t="s">
        <v>29</v>
      </c>
      <c r="P18" s="12" t="s">
        <v>30</v>
      </c>
      <c r="Q18" s="12" t="s">
        <v>31</v>
      </c>
      <c r="R18" s="12" t="s">
        <v>32</v>
      </c>
    </row>
    <row r="19" spans="1:18" x14ac:dyDescent="0.25">
      <c r="A19" s="3">
        <v>39965</v>
      </c>
      <c r="B19" s="1">
        <v>14548</v>
      </c>
      <c r="C19" s="1">
        <v>24638</v>
      </c>
      <c r="D19" s="1">
        <v>2497</v>
      </c>
      <c r="E19" s="1">
        <v>5239</v>
      </c>
      <c r="F19" s="1">
        <v>7636</v>
      </c>
      <c r="G19" s="1">
        <v>7620</v>
      </c>
      <c r="H19" s="4">
        <v>42760</v>
      </c>
      <c r="J19" s="10" t="s">
        <v>20</v>
      </c>
      <c r="K19" s="10">
        <v>52585.519330612209</v>
      </c>
      <c r="L19" s="10">
        <v>21128.503372271807</v>
      </c>
      <c r="M19" s="10">
        <v>2.4888426030034534</v>
      </c>
      <c r="N19" s="10">
        <v>1.445035936527795E-2</v>
      </c>
      <c r="O19" s="10">
        <v>10672.252144984581</v>
      </c>
      <c r="P19" s="10">
        <v>94498.786516239838</v>
      </c>
      <c r="Q19" s="10">
        <v>10672.252144984581</v>
      </c>
      <c r="R19" s="10">
        <v>94498.786516239838</v>
      </c>
    </row>
    <row r="20" spans="1:18" x14ac:dyDescent="0.25">
      <c r="A20" s="3">
        <v>39995</v>
      </c>
      <c r="B20" s="1">
        <v>14116</v>
      </c>
      <c r="C20" s="1">
        <v>24955</v>
      </c>
      <c r="D20" s="1">
        <v>2434</v>
      </c>
      <c r="E20" s="1">
        <v>5765</v>
      </c>
      <c r="F20" s="1">
        <v>7420</v>
      </c>
      <c r="G20" s="1">
        <v>7629</v>
      </c>
      <c r="H20" s="4">
        <v>52545</v>
      </c>
      <c r="J20" s="10" t="s">
        <v>7</v>
      </c>
      <c r="K20" s="10">
        <v>1.0512795714205017</v>
      </c>
      <c r="L20" s="10">
        <v>0.81298838686653219</v>
      </c>
      <c r="M20" s="10">
        <v>1.2931052748150627</v>
      </c>
      <c r="N20" s="10">
        <v>0.19892460596838216</v>
      </c>
      <c r="O20" s="10">
        <v>-0.56147069664950333</v>
      </c>
      <c r="P20" s="10">
        <v>2.6640298394905066</v>
      </c>
      <c r="Q20" s="10">
        <v>-0.56147069664950333</v>
      </c>
      <c r="R20" s="10">
        <v>2.6640298394905066</v>
      </c>
    </row>
    <row r="21" spans="1:18" x14ac:dyDescent="0.25">
      <c r="A21" s="3">
        <v>40026</v>
      </c>
      <c r="B21" s="1">
        <v>13791</v>
      </c>
      <c r="C21" s="1">
        <v>22595</v>
      </c>
      <c r="D21" s="1">
        <v>2251</v>
      </c>
      <c r="E21" s="1">
        <v>5025</v>
      </c>
      <c r="F21" s="1">
        <v>7080</v>
      </c>
      <c r="G21" s="1">
        <v>7045</v>
      </c>
      <c r="H21" s="4">
        <v>49219</v>
      </c>
      <c r="J21" s="10" t="s">
        <v>6</v>
      </c>
      <c r="K21" s="10">
        <v>1.566982980303786</v>
      </c>
      <c r="L21" s="10">
        <v>0.7805860105445559</v>
      </c>
      <c r="M21" s="10">
        <v>2.007444354800338</v>
      </c>
      <c r="N21" s="10">
        <v>4.7373713127812453E-2</v>
      </c>
      <c r="O21" s="10">
        <v>1.8510310713119926E-2</v>
      </c>
      <c r="P21" s="10">
        <v>3.1154556498944519</v>
      </c>
      <c r="Q21" s="10">
        <v>1.8510310713119926E-2</v>
      </c>
      <c r="R21" s="10">
        <v>3.1154556498944519</v>
      </c>
    </row>
    <row r="22" spans="1:18" x14ac:dyDescent="0.25">
      <c r="A22" s="3">
        <v>40057</v>
      </c>
      <c r="B22" s="1">
        <v>13029</v>
      </c>
      <c r="C22" s="1">
        <v>22728</v>
      </c>
      <c r="D22" s="1">
        <v>2288</v>
      </c>
      <c r="E22" s="1">
        <v>4758</v>
      </c>
      <c r="F22" s="1">
        <v>6912</v>
      </c>
      <c r="G22" s="1">
        <v>7211</v>
      </c>
      <c r="H22" s="4">
        <v>50318</v>
      </c>
      <c r="J22" s="10" t="s">
        <v>5</v>
      </c>
      <c r="K22" s="10">
        <v>-9.0322683007561633</v>
      </c>
      <c r="L22" s="10">
        <v>4.8227541840422967</v>
      </c>
      <c r="M22" s="10">
        <v>-1.8728444279085297</v>
      </c>
      <c r="N22" s="10">
        <v>6.3981919058020545E-2</v>
      </c>
      <c r="O22" s="10">
        <v>-18.599315295274728</v>
      </c>
      <c r="P22" s="10">
        <v>0.53477869376239973</v>
      </c>
      <c r="Q22" s="10">
        <v>-18.599315295274728</v>
      </c>
      <c r="R22" s="10">
        <v>0.53477869376239973</v>
      </c>
    </row>
    <row r="23" spans="1:18" x14ac:dyDescent="0.25">
      <c r="A23" s="3">
        <v>40087</v>
      </c>
      <c r="B23" s="1">
        <v>13586</v>
      </c>
      <c r="C23" s="1">
        <v>24253</v>
      </c>
      <c r="D23" s="1">
        <v>2584</v>
      </c>
      <c r="E23" s="1">
        <v>5630</v>
      </c>
      <c r="F23" s="1">
        <v>6745</v>
      </c>
      <c r="G23" s="1">
        <v>7493</v>
      </c>
      <c r="H23" s="4">
        <v>54953</v>
      </c>
      <c r="J23" s="10" t="s">
        <v>3</v>
      </c>
      <c r="K23" s="10">
        <v>1.2679258895711158</v>
      </c>
      <c r="L23" s="10">
        <v>2.2092420787370957</v>
      </c>
      <c r="M23" s="10">
        <v>0.57391894793888798</v>
      </c>
      <c r="N23" s="10">
        <v>0.56729854559395199</v>
      </c>
      <c r="O23" s="10">
        <v>-3.1146161150537472</v>
      </c>
      <c r="P23" s="10">
        <v>5.6504678941959785</v>
      </c>
      <c r="Q23" s="10">
        <v>-3.1146161150537472</v>
      </c>
      <c r="R23" s="10">
        <v>5.6504678941959785</v>
      </c>
    </row>
    <row r="24" spans="1:18" x14ac:dyDescent="0.25">
      <c r="A24" s="3">
        <v>40118</v>
      </c>
      <c r="B24" s="1">
        <v>13177</v>
      </c>
      <c r="C24" s="1">
        <v>23415</v>
      </c>
      <c r="D24" s="1">
        <v>2314</v>
      </c>
      <c r="E24" s="1">
        <v>5329</v>
      </c>
      <c r="F24" s="1">
        <v>6581</v>
      </c>
      <c r="G24" s="1">
        <v>7765</v>
      </c>
      <c r="H24" s="4">
        <v>51675</v>
      </c>
      <c r="J24" s="10" t="s">
        <v>2</v>
      </c>
      <c r="K24" s="10">
        <v>-3.6562774719813032</v>
      </c>
      <c r="L24" s="10">
        <v>1.6681207125384538</v>
      </c>
      <c r="M24" s="10">
        <v>-2.1918542492152038</v>
      </c>
      <c r="N24" s="10">
        <v>3.0687202261622328E-2</v>
      </c>
      <c r="O24" s="10">
        <v>-6.9653802461162275</v>
      </c>
      <c r="P24" s="10">
        <v>-0.34717469784637833</v>
      </c>
      <c r="Q24" s="10">
        <v>-6.9653802461162275</v>
      </c>
      <c r="R24" s="10">
        <v>-0.34717469784637833</v>
      </c>
    </row>
    <row r="25" spans="1:18" ht="15.75" thickBot="1" x14ac:dyDescent="0.3">
      <c r="A25" s="3">
        <v>40148</v>
      </c>
      <c r="B25" s="1">
        <v>12319</v>
      </c>
      <c r="C25" s="1">
        <v>21696</v>
      </c>
      <c r="D25" s="1">
        <v>2351</v>
      </c>
      <c r="E25" s="1">
        <v>4287</v>
      </c>
      <c r="F25" s="1">
        <v>5763</v>
      </c>
      <c r="G25" s="1">
        <v>7064</v>
      </c>
      <c r="H25" s="4">
        <v>64459</v>
      </c>
      <c r="J25" s="11" t="s">
        <v>1</v>
      </c>
      <c r="K25" s="11">
        <v>-2.2857258923579016</v>
      </c>
      <c r="L25" s="11">
        <v>1.8922496183689959</v>
      </c>
      <c r="M25" s="11">
        <v>-1.2079409979366562</v>
      </c>
      <c r="N25" s="11">
        <v>0.22989081214033408</v>
      </c>
      <c r="O25" s="11">
        <v>-6.0394401256473902</v>
      </c>
      <c r="P25" s="11">
        <v>1.4679883409315866</v>
      </c>
      <c r="Q25" s="11">
        <v>-6.0394401256473902</v>
      </c>
      <c r="R25" s="11">
        <v>1.4679883409315866</v>
      </c>
    </row>
    <row r="26" spans="1:18" x14ac:dyDescent="0.25">
      <c r="A26" s="3">
        <v>40179</v>
      </c>
      <c r="B26" s="1">
        <v>12572</v>
      </c>
      <c r="C26" s="1">
        <v>21022</v>
      </c>
      <c r="D26" s="1">
        <v>2562</v>
      </c>
      <c r="E26" s="1">
        <v>5056</v>
      </c>
      <c r="F26" s="1">
        <v>5931</v>
      </c>
      <c r="G26" s="1">
        <v>6959</v>
      </c>
      <c r="H26" s="4">
        <v>34067</v>
      </c>
    </row>
    <row r="27" spans="1:18" x14ac:dyDescent="0.25">
      <c r="A27" s="3">
        <v>40210</v>
      </c>
      <c r="B27" s="1">
        <v>12147</v>
      </c>
      <c r="C27" s="1">
        <v>21523</v>
      </c>
      <c r="D27" s="1">
        <v>2629</v>
      </c>
      <c r="E27" s="1">
        <v>5005</v>
      </c>
      <c r="F27" s="1">
        <v>5719</v>
      </c>
      <c r="G27" s="1">
        <v>7153</v>
      </c>
      <c r="H27" s="4">
        <v>38023</v>
      </c>
    </row>
    <row r="28" spans="1:18" x14ac:dyDescent="0.25">
      <c r="A28" s="3">
        <v>40238</v>
      </c>
      <c r="B28" s="1">
        <v>13981</v>
      </c>
      <c r="C28" s="1">
        <v>25578</v>
      </c>
      <c r="D28" s="1">
        <v>3176</v>
      </c>
      <c r="E28" s="1">
        <v>5134</v>
      </c>
      <c r="F28" s="1">
        <v>7169</v>
      </c>
      <c r="G28" s="1">
        <v>7586</v>
      </c>
      <c r="H28" s="4">
        <v>44487</v>
      </c>
    </row>
    <row r="29" spans="1:18" x14ac:dyDescent="0.25">
      <c r="A29" s="3">
        <v>40269</v>
      </c>
      <c r="B29" s="1">
        <v>13306</v>
      </c>
      <c r="C29" s="1">
        <v>24534</v>
      </c>
      <c r="D29" s="1">
        <v>2719</v>
      </c>
      <c r="E29" s="1">
        <v>4644</v>
      </c>
      <c r="F29" s="1">
        <v>7177</v>
      </c>
      <c r="G29" s="1">
        <v>6794</v>
      </c>
      <c r="H29" s="4">
        <v>44434</v>
      </c>
      <c r="J29" t="s">
        <v>44</v>
      </c>
    </row>
    <row r="30" spans="1:18" ht="15.75" thickBot="1" x14ac:dyDescent="0.3">
      <c r="A30" s="3">
        <v>40299</v>
      </c>
      <c r="B30" s="1">
        <v>14442</v>
      </c>
      <c r="C30" s="1">
        <v>25045</v>
      </c>
      <c r="D30" s="1">
        <v>3014</v>
      </c>
      <c r="E30" s="1">
        <v>4803</v>
      </c>
      <c r="F30" s="1">
        <v>7022</v>
      </c>
      <c r="G30" s="1">
        <v>6850</v>
      </c>
      <c r="H30" s="4">
        <v>44515</v>
      </c>
    </row>
    <row r="31" spans="1:18" x14ac:dyDescent="0.25">
      <c r="A31" s="3">
        <v>40330</v>
      </c>
      <c r="B31" s="1">
        <v>14658</v>
      </c>
      <c r="C31" s="1">
        <v>25637</v>
      </c>
      <c r="D31" s="1">
        <v>2701</v>
      </c>
      <c r="E31" s="1">
        <v>4674</v>
      </c>
      <c r="F31" s="1">
        <v>7187</v>
      </c>
      <c r="G31" s="1">
        <v>6850</v>
      </c>
      <c r="H31" s="4">
        <v>54289</v>
      </c>
      <c r="J31" s="12" t="s">
        <v>45</v>
      </c>
      <c r="K31" s="12" t="s">
        <v>46</v>
      </c>
      <c r="L31" s="12" t="s">
        <v>47</v>
      </c>
    </row>
    <row r="32" spans="1:18" x14ac:dyDescent="0.25">
      <c r="A32" s="3">
        <v>40360</v>
      </c>
      <c r="B32" s="1">
        <v>14952</v>
      </c>
      <c r="C32" s="1">
        <v>25928</v>
      </c>
      <c r="D32" s="1">
        <v>2544</v>
      </c>
      <c r="E32" s="1">
        <v>5432</v>
      </c>
      <c r="F32" s="1">
        <v>7136</v>
      </c>
      <c r="G32" s="1">
        <v>6773</v>
      </c>
      <c r="H32" s="4">
        <v>58555</v>
      </c>
      <c r="J32" s="10">
        <v>1</v>
      </c>
      <c r="K32" s="10">
        <v>35477.16001282035</v>
      </c>
      <c r="L32" s="10">
        <v>15983.83998717965</v>
      </c>
    </row>
    <row r="33" spans="1:12" x14ac:dyDescent="0.25">
      <c r="A33" s="3">
        <v>40391</v>
      </c>
      <c r="B33" s="1">
        <v>12951</v>
      </c>
      <c r="C33" s="1">
        <v>23763</v>
      </c>
      <c r="D33" s="1">
        <v>2306</v>
      </c>
      <c r="E33" s="1">
        <v>5796</v>
      </c>
      <c r="F33" s="1">
        <v>6477</v>
      </c>
      <c r="G33" s="1">
        <v>6898</v>
      </c>
      <c r="H33" s="4">
        <v>53477</v>
      </c>
      <c r="J33" s="10">
        <v>2</v>
      </c>
      <c r="K33" s="10">
        <v>42116.911596510123</v>
      </c>
      <c r="L33" s="10">
        <v>11715.088403489877</v>
      </c>
    </row>
    <row r="34" spans="1:12" x14ac:dyDescent="0.25">
      <c r="A34" s="3">
        <v>40422</v>
      </c>
      <c r="B34" s="1">
        <v>12812</v>
      </c>
      <c r="C34" s="1">
        <v>25215</v>
      </c>
      <c r="D34" s="1">
        <v>2520</v>
      </c>
      <c r="E34" s="1">
        <v>4924</v>
      </c>
      <c r="F34" s="1">
        <v>6250</v>
      </c>
      <c r="G34" s="1">
        <v>7117</v>
      </c>
      <c r="H34" s="4">
        <v>50395</v>
      </c>
      <c r="J34" s="10">
        <v>3</v>
      </c>
      <c r="K34" s="10">
        <v>41812.423084276772</v>
      </c>
      <c r="L34" s="10">
        <v>8201.576915723228</v>
      </c>
    </row>
    <row r="35" spans="1:12" x14ac:dyDescent="0.25">
      <c r="A35" s="3">
        <v>40452</v>
      </c>
      <c r="B35" s="1">
        <v>12930</v>
      </c>
      <c r="C35" s="1">
        <v>26293</v>
      </c>
      <c r="D35" s="1">
        <v>2706</v>
      </c>
      <c r="E35" s="1">
        <v>5267</v>
      </c>
      <c r="F35" s="1">
        <v>6421</v>
      </c>
      <c r="G35" s="1">
        <v>7603</v>
      </c>
      <c r="H35" s="4">
        <v>49662</v>
      </c>
      <c r="J35" s="10">
        <v>4</v>
      </c>
      <c r="K35" s="10">
        <v>41605.272174591126</v>
      </c>
      <c r="L35" s="10">
        <v>10874.727825408874</v>
      </c>
    </row>
    <row r="36" spans="1:12" x14ac:dyDescent="0.25">
      <c r="A36" s="3">
        <v>40483</v>
      </c>
      <c r="B36" s="1">
        <v>12052</v>
      </c>
      <c r="C36" s="1">
        <v>25417</v>
      </c>
      <c r="D36" s="1">
        <v>2786</v>
      </c>
      <c r="E36" s="1">
        <v>4659</v>
      </c>
      <c r="F36" s="1">
        <v>6288</v>
      </c>
      <c r="G36" s="1">
        <v>8589</v>
      </c>
      <c r="H36" s="4">
        <v>47959</v>
      </c>
      <c r="J36" s="10">
        <v>5</v>
      </c>
      <c r="K36" s="10">
        <v>43994.775214472647</v>
      </c>
      <c r="L36" s="10">
        <v>9712.2247855273527</v>
      </c>
    </row>
    <row r="37" spans="1:12" x14ac:dyDescent="0.25">
      <c r="A37" s="3">
        <v>40513</v>
      </c>
      <c r="B37" s="1">
        <v>11091</v>
      </c>
      <c r="C37" s="1">
        <v>20969</v>
      </c>
      <c r="D37" s="1">
        <v>2678</v>
      </c>
      <c r="E37" s="1">
        <v>3280</v>
      </c>
      <c r="F37" s="1">
        <v>5120</v>
      </c>
      <c r="G37" s="1">
        <v>7654</v>
      </c>
      <c r="H37" s="4">
        <v>47823</v>
      </c>
      <c r="J37" s="10">
        <v>6</v>
      </c>
      <c r="K37" s="10">
        <v>44914.746079599689</v>
      </c>
      <c r="L37" s="10">
        <v>4050.2539204003115</v>
      </c>
    </row>
    <row r="38" spans="1:12" x14ac:dyDescent="0.25">
      <c r="A38" s="3">
        <v>40544</v>
      </c>
      <c r="B38" s="1">
        <v>11866</v>
      </c>
      <c r="C38" s="1">
        <v>23277</v>
      </c>
      <c r="D38" s="1">
        <v>3059</v>
      </c>
      <c r="E38" s="1">
        <v>4624</v>
      </c>
      <c r="F38" s="1">
        <v>5632</v>
      </c>
      <c r="G38" s="1">
        <v>8698</v>
      </c>
      <c r="H38" s="4">
        <v>34048</v>
      </c>
      <c r="J38" s="10">
        <v>7</v>
      </c>
      <c r="K38" s="10">
        <v>48694.356752035077</v>
      </c>
      <c r="L38" s="10">
        <v>-4114.3567520350771</v>
      </c>
    </row>
    <row r="39" spans="1:12" x14ac:dyDescent="0.25">
      <c r="A39" s="3">
        <v>40575</v>
      </c>
      <c r="B39" s="1">
        <v>11150</v>
      </c>
      <c r="C39" s="1">
        <v>22743</v>
      </c>
      <c r="D39" s="1">
        <v>2940</v>
      </c>
      <c r="E39" s="1">
        <v>4538</v>
      </c>
      <c r="F39" s="1">
        <v>5270</v>
      </c>
      <c r="G39" s="1">
        <v>7474</v>
      </c>
      <c r="H39" s="4">
        <v>34838</v>
      </c>
      <c r="J39" s="10">
        <v>8</v>
      </c>
      <c r="K39" s="10">
        <v>45694.857169238981</v>
      </c>
      <c r="L39" s="10">
        <v>-5534.8571692389814</v>
      </c>
    </row>
    <row r="40" spans="1:12" x14ac:dyDescent="0.25">
      <c r="A40" s="3">
        <v>40603</v>
      </c>
      <c r="B40" s="1">
        <v>12302</v>
      </c>
      <c r="C40" s="1">
        <v>25900</v>
      </c>
      <c r="D40" s="1">
        <v>3102</v>
      </c>
      <c r="E40" s="1">
        <v>5007</v>
      </c>
      <c r="F40" s="1">
        <v>6060</v>
      </c>
      <c r="G40" s="1">
        <v>8013</v>
      </c>
      <c r="H40" s="4">
        <v>40719</v>
      </c>
      <c r="J40" s="10">
        <v>9</v>
      </c>
      <c r="K40" s="10">
        <v>47040.123737578324</v>
      </c>
      <c r="L40" s="10">
        <v>-12506.123737578324</v>
      </c>
    </row>
    <row r="41" spans="1:12" x14ac:dyDescent="0.25">
      <c r="A41" s="3">
        <v>40634</v>
      </c>
      <c r="B41" s="1">
        <v>12420</v>
      </c>
      <c r="C41" s="1">
        <v>24810</v>
      </c>
      <c r="D41" s="1">
        <v>3077</v>
      </c>
      <c r="E41" s="1">
        <v>4121</v>
      </c>
      <c r="F41" s="1">
        <v>6231</v>
      </c>
      <c r="G41" s="1">
        <v>7276</v>
      </c>
      <c r="H41" s="4">
        <v>43431</v>
      </c>
      <c r="J41" s="10">
        <v>10</v>
      </c>
      <c r="K41" s="10">
        <v>47846.670118440357</v>
      </c>
      <c r="L41" s="10">
        <v>-12024.670118440357</v>
      </c>
    </row>
    <row r="42" spans="1:12" x14ac:dyDescent="0.25">
      <c r="A42" s="3">
        <v>40664</v>
      </c>
      <c r="B42" s="1">
        <v>12289</v>
      </c>
      <c r="C42" s="1">
        <v>27359</v>
      </c>
      <c r="D42" s="1">
        <v>3395</v>
      </c>
      <c r="E42" s="1">
        <v>4734</v>
      </c>
      <c r="F42" s="1">
        <v>6291</v>
      </c>
      <c r="G42" s="1">
        <v>7688</v>
      </c>
      <c r="H42" s="4">
        <v>41353</v>
      </c>
      <c r="J42" s="10">
        <v>11</v>
      </c>
      <c r="K42" s="10">
        <v>44715.583074626004</v>
      </c>
      <c r="L42" s="10">
        <v>-15975.583074626004</v>
      </c>
    </row>
    <row r="43" spans="1:12" x14ac:dyDescent="0.25">
      <c r="A43" s="3">
        <v>40695</v>
      </c>
      <c r="B43" s="1">
        <v>12633</v>
      </c>
      <c r="C43" s="1">
        <v>27029</v>
      </c>
      <c r="D43" s="1">
        <v>3124</v>
      </c>
      <c r="E43" s="1">
        <v>5032</v>
      </c>
      <c r="F43" s="1">
        <v>6026</v>
      </c>
      <c r="G43" s="1">
        <v>7079</v>
      </c>
      <c r="H43" s="4">
        <v>48971</v>
      </c>
      <c r="J43" s="10">
        <v>12</v>
      </c>
      <c r="K43" s="10">
        <v>42070.291159727094</v>
      </c>
      <c r="L43" s="10">
        <v>-10219.291159727094</v>
      </c>
    </row>
    <row r="44" spans="1:12" x14ac:dyDescent="0.25">
      <c r="A44" s="3">
        <v>40725</v>
      </c>
      <c r="B44" s="1">
        <v>12942</v>
      </c>
      <c r="C44" s="1">
        <v>26332</v>
      </c>
      <c r="D44" s="1">
        <v>3268</v>
      </c>
      <c r="E44" s="1">
        <v>5703</v>
      </c>
      <c r="F44" s="1">
        <v>6053</v>
      </c>
      <c r="G44" s="1">
        <v>7156</v>
      </c>
      <c r="H44" s="4">
        <v>54040</v>
      </c>
      <c r="J44" s="10">
        <v>13</v>
      </c>
      <c r="K44" s="10">
        <v>39153.457571887026</v>
      </c>
      <c r="L44" s="10">
        <v>-16911.457571887026</v>
      </c>
    </row>
    <row r="45" spans="1:12" x14ac:dyDescent="0.25">
      <c r="A45" s="3">
        <v>40756</v>
      </c>
      <c r="B45" s="1">
        <v>11884</v>
      </c>
      <c r="C45" s="1">
        <v>23926</v>
      </c>
      <c r="D45" s="1">
        <v>2869</v>
      </c>
      <c r="E45" s="1">
        <v>4927</v>
      </c>
      <c r="F45" s="1">
        <v>6733</v>
      </c>
      <c r="G45" s="1">
        <v>7883</v>
      </c>
      <c r="H45" s="4">
        <v>55412</v>
      </c>
      <c r="J45" s="10">
        <v>14</v>
      </c>
      <c r="K45" s="10">
        <v>42703.590184658882</v>
      </c>
      <c r="L45" s="10">
        <v>-20325.590184658882</v>
      </c>
    </row>
    <row r="46" spans="1:12" x14ac:dyDescent="0.25">
      <c r="A46" s="3">
        <v>40787</v>
      </c>
      <c r="B46" s="1">
        <v>12286</v>
      </c>
      <c r="C46" s="1">
        <v>25300</v>
      </c>
      <c r="D46" s="1">
        <v>2654</v>
      </c>
      <c r="E46" s="1">
        <v>4728</v>
      </c>
      <c r="F46" s="1">
        <v>5718</v>
      </c>
      <c r="G46" s="1">
        <v>7091</v>
      </c>
      <c r="H46" s="4">
        <v>54726</v>
      </c>
      <c r="J46" s="10">
        <v>15</v>
      </c>
      <c r="K46" s="10">
        <v>41494.308848636472</v>
      </c>
      <c r="L46" s="10">
        <v>-12536.308848636472</v>
      </c>
    </row>
    <row r="47" spans="1:12" x14ac:dyDescent="0.25">
      <c r="A47" s="3">
        <v>40817</v>
      </c>
      <c r="B47" s="1">
        <v>13083</v>
      </c>
      <c r="C47" s="1">
        <v>27928</v>
      </c>
      <c r="D47" s="1">
        <v>3050</v>
      </c>
      <c r="E47" s="1">
        <v>4957</v>
      </c>
      <c r="F47" s="1">
        <v>5901</v>
      </c>
      <c r="G47" s="1">
        <v>7901</v>
      </c>
      <c r="H47" s="4">
        <v>49349</v>
      </c>
      <c r="J47" s="10">
        <v>16</v>
      </c>
      <c r="K47" s="10">
        <v>39226.195178386195</v>
      </c>
      <c r="L47" s="10">
        <v>-8115.195178386195</v>
      </c>
    </row>
    <row r="48" spans="1:12" x14ac:dyDescent="0.25">
      <c r="A48" s="3">
        <v>40848</v>
      </c>
      <c r="B48" s="1">
        <v>12454</v>
      </c>
      <c r="C48" s="1">
        <v>28490</v>
      </c>
      <c r="D48" s="1">
        <v>3296</v>
      </c>
      <c r="E48" s="1">
        <v>5007</v>
      </c>
      <c r="F48" s="1">
        <v>5701</v>
      </c>
      <c r="G48" s="1">
        <v>8326</v>
      </c>
      <c r="H48" s="4">
        <v>50738</v>
      </c>
      <c r="J48" s="10">
        <v>17</v>
      </c>
      <c r="K48" s="10">
        <v>40005.383374220699</v>
      </c>
      <c r="L48" s="10">
        <v>-3731.3833742206989</v>
      </c>
    </row>
    <row r="49" spans="1:12" x14ac:dyDescent="0.25">
      <c r="A49" s="3">
        <v>40878</v>
      </c>
      <c r="B49" s="1">
        <v>11592</v>
      </c>
      <c r="C49" s="1">
        <v>26198</v>
      </c>
      <c r="D49" s="1">
        <v>2845</v>
      </c>
      <c r="E49" s="1">
        <v>4172</v>
      </c>
      <c r="F49" s="1">
        <v>5298</v>
      </c>
      <c r="G49" s="1">
        <v>8730</v>
      </c>
      <c r="H49" s="4">
        <v>53378</v>
      </c>
      <c r="J49" s="10">
        <v>18</v>
      </c>
      <c r="K49" s="10">
        <v>45239.384917020841</v>
      </c>
      <c r="L49" s="10">
        <v>-2479.3849170208414</v>
      </c>
    </row>
    <row r="50" spans="1:12" x14ac:dyDescent="0.25">
      <c r="A50" s="3">
        <v>40909</v>
      </c>
      <c r="B50" s="1">
        <v>11822</v>
      </c>
      <c r="C50" s="1">
        <v>27445</v>
      </c>
      <c r="D50" s="1">
        <v>2944</v>
      </c>
      <c r="E50" s="1">
        <v>5068</v>
      </c>
      <c r="F50" s="1">
        <v>5600</v>
      </c>
      <c r="G50" s="1">
        <v>8698</v>
      </c>
      <c r="H50" s="4">
        <v>38991</v>
      </c>
      <c r="J50" s="10">
        <v>19</v>
      </c>
      <c r="K50" s="10">
        <v>47287.112068702278</v>
      </c>
      <c r="L50" s="10">
        <v>5257.8879312977224</v>
      </c>
    </row>
    <row r="51" spans="1:12" x14ac:dyDescent="0.25">
      <c r="A51" s="3">
        <v>40940</v>
      </c>
      <c r="B51" s="1">
        <v>11058</v>
      </c>
      <c r="C51" s="1">
        <v>25001</v>
      </c>
      <c r="D51" s="1">
        <v>2796</v>
      </c>
      <c r="E51" s="1">
        <v>4309</v>
      </c>
      <c r="F51" s="1">
        <v>5063</v>
      </c>
      <c r="G51" s="1">
        <v>7639</v>
      </c>
      <c r="H51" s="4">
        <v>39820</v>
      </c>
      <c r="J51" s="10">
        <v>20</v>
      </c>
      <c r="K51" s="10">
        <v>46540.004576840074</v>
      </c>
      <c r="L51" s="10">
        <v>2678.9954231599258</v>
      </c>
    </row>
    <row r="52" spans="1:12" x14ac:dyDescent="0.25">
      <c r="A52" s="3">
        <v>40969</v>
      </c>
      <c r="B52" s="1">
        <v>12930</v>
      </c>
      <c r="C52" s="1">
        <v>31076</v>
      </c>
      <c r="D52" s="1">
        <v>3330</v>
      </c>
      <c r="E52" s="1">
        <v>4769</v>
      </c>
      <c r="F52" s="1">
        <v>5809</v>
      </c>
      <c r="G52" s="1">
        <v>8639</v>
      </c>
      <c r="H52" s="4">
        <v>54431</v>
      </c>
      <c r="J52" s="10">
        <v>21</v>
      </c>
      <c r="K52" s="10">
        <v>45509.432257316032</v>
      </c>
      <c r="L52" s="10">
        <v>4808.5677426839684</v>
      </c>
    </row>
    <row r="53" spans="1:12" x14ac:dyDescent="0.25">
      <c r="A53" s="3">
        <v>41000</v>
      </c>
      <c r="B53" s="1">
        <v>11931</v>
      </c>
      <c r="C53" s="1">
        <v>26646</v>
      </c>
      <c r="D53" s="1">
        <v>2994</v>
      </c>
      <c r="E53" s="1">
        <v>3765</v>
      </c>
      <c r="F53" s="1">
        <v>5162</v>
      </c>
      <c r="G53" s="1">
        <v>7532</v>
      </c>
      <c r="H53" s="4">
        <v>36927</v>
      </c>
      <c r="J53" s="10">
        <v>22</v>
      </c>
      <c r="K53" s="10">
        <v>46882.747618418674</v>
      </c>
      <c r="L53" s="10">
        <v>8070.2523815813256</v>
      </c>
    </row>
    <row r="54" spans="1:12" x14ac:dyDescent="0.25">
      <c r="A54" s="3">
        <v>41030</v>
      </c>
      <c r="B54" s="1">
        <v>13638</v>
      </c>
      <c r="C54" s="1">
        <v>29823</v>
      </c>
      <c r="D54" s="1">
        <v>3027</v>
      </c>
      <c r="E54" s="1">
        <v>3959</v>
      </c>
      <c r="F54" s="1">
        <v>5661</v>
      </c>
      <c r="G54" s="1">
        <v>7328</v>
      </c>
      <c r="H54" s="4">
        <v>45371</v>
      </c>
      <c r="J54" s="10">
        <v>23</v>
      </c>
      <c r="K54" s="10">
        <v>47174.621347339955</v>
      </c>
      <c r="L54" s="10">
        <v>4500.3786526600452</v>
      </c>
    </row>
    <row r="55" spans="1:12" x14ac:dyDescent="0.25">
      <c r="A55" s="3">
        <v>41061</v>
      </c>
      <c r="B55" s="1">
        <v>12955</v>
      </c>
      <c r="C55" s="1">
        <v>28152</v>
      </c>
      <c r="D55" s="1">
        <v>2992</v>
      </c>
      <c r="E55" s="1">
        <v>4378</v>
      </c>
      <c r="F55" s="1">
        <v>5455</v>
      </c>
      <c r="G55" s="1">
        <v>7511</v>
      </c>
      <c r="H55" s="4">
        <v>50541</v>
      </c>
      <c r="J55" s="10">
        <v>24</v>
      </c>
      <c r="K55" s="10">
        <v>46516.735850481469</v>
      </c>
      <c r="L55" s="10">
        <v>17942.264149518531</v>
      </c>
    </row>
    <row r="56" spans="1:12" x14ac:dyDescent="0.25">
      <c r="A56" s="3">
        <v>41091</v>
      </c>
      <c r="B56" s="1">
        <v>13531</v>
      </c>
      <c r="C56" s="1">
        <v>28878</v>
      </c>
      <c r="D56" s="1">
        <v>2990</v>
      </c>
      <c r="E56" s="1">
        <v>4575</v>
      </c>
      <c r="F56" s="1">
        <v>5288</v>
      </c>
      <c r="G56" s="1">
        <v>7093</v>
      </c>
      <c r="H56" s="4">
        <v>52615</v>
      </c>
      <c r="J56" s="10">
        <v>25</v>
      </c>
      <c r="K56" s="10">
        <v>44421.536054351476</v>
      </c>
      <c r="L56" s="10">
        <v>-10354.536054351476</v>
      </c>
    </row>
    <row r="57" spans="1:12" x14ac:dyDescent="0.25">
      <c r="A57" s="3">
        <v>41122</v>
      </c>
      <c r="B57" s="1">
        <v>13483</v>
      </c>
      <c r="C57" s="1">
        <v>27442</v>
      </c>
      <c r="D57" s="1">
        <v>2679</v>
      </c>
      <c r="E57" s="1">
        <v>4935</v>
      </c>
      <c r="F57" s="1">
        <v>5381</v>
      </c>
      <c r="G57" s="1">
        <v>7244</v>
      </c>
      <c r="H57" s="4">
        <v>56536</v>
      </c>
      <c r="J57" s="10">
        <v>26</v>
      </c>
      <c r="K57" s="10">
        <v>44421.674514053753</v>
      </c>
      <c r="L57" s="10">
        <v>-6398.6745140537532</v>
      </c>
    </row>
    <row r="58" spans="1:12" x14ac:dyDescent="0.25">
      <c r="A58" s="3">
        <v>41153</v>
      </c>
      <c r="B58" s="1">
        <v>12283</v>
      </c>
      <c r="C58" s="1">
        <v>25361</v>
      </c>
      <c r="D58" s="1">
        <v>2700</v>
      </c>
      <c r="E58" s="1">
        <v>4144</v>
      </c>
      <c r="F58" s="1">
        <v>4600</v>
      </c>
      <c r="G58" s="1">
        <v>6880</v>
      </c>
      <c r="H58" s="4">
        <v>47313</v>
      </c>
      <c r="J58" s="10">
        <v>27</v>
      </c>
      <c r="K58" s="10">
        <v>41635.427266648025</v>
      </c>
      <c r="L58" s="10">
        <v>2851.5727333519753</v>
      </c>
    </row>
    <row r="59" spans="1:12" x14ac:dyDescent="0.25">
      <c r="A59" s="3">
        <v>41183</v>
      </c>
      <c r="B59" s="1">
        <v>12404</v>
      </c>
      <c r="C59" s="1">
        <v>28871</v>
      </c>
      <c r="D59" s="1">
        <v>2851</v>
      </c>
      <c r="E59" s="1">
        <v>3985</v>
      </c>
      <c r="F59" s="1">
        <v>4740</v>
      </c>
      <c r="G59" s="1">
        <v>7958</v>
      </c>
      <c r="H59" s="4">
        <v>50666</v>
      </c>
      <c r="J59" s="10">
        <v>28</v>
      </c>
      <c r="K59" s="10">
        <v>44577.390939029356</v>
      </c>
      <c r="L59" s="10">
        <v>-143.39093902935565</v>
      </c>
    </row>
    <row r="60" spans="1:12" x14ac:dyDescent="0.25">
      <c r="A60" s="3">
        <v>41214</v>
      </c>
      <c r="B60" s="1">
        <v>12012</v>
      </c>
      <c r="C60" s="1">
        <v>28705</v>
      </c>
      <c r="D60" s="1">
        <v>3055</v>
      </c>
      <c r="E60" s="1">
        <v>4122</v>
      </c>
      <c r="F60" s="1">
        <v>4958</v>
      </c>
      <c r="G60" s="1">
        <v>8765</v>
      </c>
      <c r="H60" s="4">
        <v>53929</v>
      </c>
      <c r="J60" s="10">
        <v>29</v>
      </c>
      <c r="K60" s="10">
        <v>44548.176261002074</v>
      </c>
      <c r="L60" s="10">
        <v>-33.17626100207417</v>
      </c>
    </row>
    <row r="61" spans="1:12" x14ac:dyDescent="0.25">
      <c r="A61" s="3">
        <v>41244</v>
      </c>
      <c r="B61" s="1">
        <v>11967</v>
      </c>
      <c r="C61" s="1">
        <v>26654</v>
      </c>
      <c r="D61" s="1">
        <v>2902</v>
      </c>
      <c r="E61" s="1">
        <v>3767</v>
      </c>
      <c r="F61" s="1">
        <v>4441</v>
      </c>
      <c r="G61" s="1">
        <v>8105</v>
      </c>
      <c r="H61" s="4">
        <v>47945</v>
      </c>
      <c r="J61" s="10">
        <v>30</v>
      </c>
      <c r="K61" s="10">
        <v>47763.158328273836</v>
      </c>
      <c r="L61" s="10">
        <v>6525.8416717261643</v>
      </c>
    </row>
    <row r="62" spans="1:12" x14ac:dyDescent="0.25">
      <c r="A62" s="3">
        <v>41275</v>
      </c>
      <c r="B62" s="1">
        <v>11358</v>
      </c>
      <c r="C62" s="1">
        <v>26626</v>
      </c>
      <c r="D62" s="1">
        <v>2719</v>
      </c>
      <c r="E62" s="1">
        <v>4436</v>
      </c>
      <c r="F62" s="1">
        <v>4565</v>
      </c>
      <c r="G62" s="1">
        <v>8462</v>
      </c>
      <c r="H62" s="4">
        <v>39477</v>
      </c>
      <c r="J62" s="10">
        <v>31</v>
      </c>
      <c r="K62" s="10">
        <v>51269.851561836083</v>
      </c>
      <c r="L62" s="10">
        <v>7285.1484381639166</v>
      </c>
    </row>
    <row r="63" spans="1:12" x14ac:dyDescent="0.25">
      <c r="A63" s="3">
        <v>41306</v>
      </c>
      <c r="B63" s="1">
        <v>10316</v>
      </c>
      <c r="C63" s="1">
        <v>25410</v>
      </c>
      <c r="D63" s="1">
        <v>2326</v>
      </c>
      <c r="E63" s="1">
        <v>4044</v>
      </c>
      <c r="F63" s="1">
        <v>4563</v>
      </c>
      <c r="G63" s="1">
        <v>7757</v>
      </c>
      <c r="H63" s="4">
        <v>39848</v>
      </c>
      <c r="J63" s="10">
        <v>32</v>
      </c>
      <c r="K63" s="10">
        <v>50508.698983940762</v>
      </c>
      <c r="L63" s="10">
        <v>2968.3010160592385</v>
      </c>
    </row>
    <row r="64" spans="1:12" x14ac:dyDescent="0.25">
      <c r="A64" s="3">
        <v>41334</v>
      </c>
      <c r="B64" s="1">
        <v>11612</v>
      </c>
      <c r="C64" s="1">
        <v>25969</v>
      </c>
      <c r="D64" s="1">
        <v>2606</v>
      </c>
      <c r="E64" s="1">
        <v>4425</v>
      </c>
      <c r="F64" s="1">
        <v>4472</v>
      </c>
      <c r="G64" s="1">
        <v>7571</v>
      </c>
      <c r="H64" s="4">
        <v>46678</v>
      </c>
      <c r="J64" s="10">
        <v>33</v>
      </c>
      <c r="K64" s="10">
        <v>49928.694634559943</v>
      </c>
      <c r="L64" s="10">
        <v>466.30536544005736</v>
      </c>
    </row>
    <row r="65" spans="1:12" x14ac:dyDescent="0.25">
      <c r="A65" s="3">
        <v>41365</v>
      </c>
      <c r="B65" s="1">
        <v>11405</v>
      </c>
      <c r="C65" s="1">
        <v>25219</v>
      </c>
      <c r="D65" s="1">
        <v>2270</v>
      </c>
      <c r="E65" s="1">
        <v>3973</v>
      </c>
      <c r="F65" s="1">
        <v>4809</v>
      </c>
      <c r="G65" s="1">
        <v>7109</v>
      </c>
      <c r="H65" s="4">
        <v>44490</v>
      </c>
      <c r="J65" s="10">
        <v>34</v>
      </c>
      <c r="K65" s="10">
        <v>48760.763721542564</v>
      </c>
      <c r="L65" s="10">
        <v>901.23627845743613</v>
      </c>
    </row>
    <row r="66" spans="1:12" x14ac:dyDescent="0.25">
      <c r="A66" s="3">
        <v>41395</v>
      </c>
      <c r="B66" s="1">
        <v>12290</v>
      </c>
      <c r="C66" s="1">
        <v>25126</v>
      </c>
      <c r="D66" s="1">
        <v>2397</v>
      </c>
      <c r="E66" s="1">
        <v>4254</v>
      </c>
      <c r="F66" s="1">
        <v>4956</v>
      </c>
      <c r="G66" s="1">
        <v>6830</v>
      </c>
      <c r="H66" s="4">
        <v>56133</v>
      </c>
      <c r="J66" s="10">
        <v>35</v>
      </c>
      <c r="K66" s="10">
        <v>43204.141936078115</v>
      </c>
      <c r="L66" s="10">
        <v>4754.8580639218853</v>
      </c>
    </row>
    <row r="67" spans="1:12" x14ac:dyDescent="0.25">
      <c r="A67" s="3">
        <v>41426</v>
      </c>
      <c r="B67" s="1">
        <v>12427</v>
      </c>
      <c r="C67" s="1">
        <v>25686</v>
      </c>
      <c r="D67" s="1">
        <v>2394</v>
      </c>
      <c r="E67" s="1">
        <v>3959</v>
      </c>
      <c r="F67" s="1">
        <v>4953</v>
      </c>
      <c r="G67" s="1">
        <v>6527</v>
      </c>
      <c r="H67" s="4">
        <v>56138</v>
      </c>
      <c r="J67" s="10">
        <v>36</v>
      </c>
      <c r="K67" s="10">
        <v>40858.622942943679</v>
      </c>
      <c r="L67" s="10">
        <v>6964.3770570563211</v>
      </c>
    </row>
    <row r="68" spans="1:12" x14ac:dyDescent="0.25">
      <c r="A68" s="3">
        <v>41456</v>
      </c>
      <c r="B68" s="1">
        <v>13995</v>
      </c>
      <c r="C68" s="1">
        <v>26852</v>
      </c>
      <c r="D68" s="1">
        <v>2693</v>
      </c>
      <c r="E68" s="1">
        <v>4379</v>
      </c>
      <c r="F68" s="1">
        <v>5020</v>
      </c>
      <c r="G68" s="1">
        <v>6604</v>
      </c>
      <c r="H68" s="4">
        <v>65271</v>
      </c>
      <c r="J68" s="10">
        <v>37</v>
      </c>
      <c r="K68" s="10">
        <v>39294.447605055117</v>
      </c>
      <c r="L68" s="10">
        <v>-5246.4476050551166</v>
      </c>
    </row>
    <row r="69" spans="1:12" x14ac:dyDescent="0.25">
      <c r="A69" s="3">
        <v>41487</v>
      </c>
      <c r="B69" s="1">
        <v>12505</v>
      </c>
      <c r="C69" s="1">
        <v>25714</v>
      </c>
      <c r="D69" s="1">
        <v>2590</v>
      </c>
      <c r="E69" s="1">
        <v>4313</v>
      </c>
      <c r="F69" s="1">
        <v>4816</v>
      </c>
      <c r="G69" s="1">
        <v>6590</v>
      </c>
      <c r="H69" s="4">
        <v>68990</v>
      </c>
      <c r="J69" s="10">
        <v>38</v>
      </c>
      <c r="K69" s="10">
        <v>42792.061758825977</v>
      </c>
      <c r="L69" s="10">
        <v>-7954.0617588259774</v>
      </c>
    </row>
    <row r="70" spans="1:12" x14ac:dyDescent="0.25">
      <c r="A70" s="3">
        <v>41518</v>
      </c>
      <c r="B70" s="1">
        <v>11841</v>
      </c>
      <c r="C70" s="1">
        <v>24870</v>
      </c>
      <c r="D70" s="1">
        <v>2460</v>
      </c>
      <c r="E70" s="1">
        <v>3779</v>
      </c>
      <c r="F70" s="1">
        <v>4380</v>
      </c>
      <c r="G70" s="1">
        <v>6686</v>
      </c>
      <c r="H70" s="4">
        <v>62128</v>
      </c>
      <c r="J70" s="10">
        <v>39</v>
      </c>
      <c r="K70" s="10">
        <v>43961.065412561671</v>
      </c>
      <c r="L70" s="10">
        <v>-3242.0654125616711</v>
      </c>
    </row>
    <row r="71" spans="1:12" x14ac:dyDescent="0.25">
      <c r="A71" s="3">
        <v>41548</v>
      </c>
      <c r="B71" s="1">
        <v>12959</v>
      </c>
      <c r="C71" s="1">
        <v>26978</v>
      </c>
      <c r="D71" s="1">
        <v>2437</v>
      </c>
      <c r="E71" s="1">
        <v>4525</v>
      </c>
      <c r="F71" s="1">
        <v>4602</v>
      </c>
      <c r="G71" s="1">
        <v>7464</v>
      </c>
      <c r="H71" s="4">
        <v>67650</v>
      </c>
      <c r="J71" s="10">
        <v>40</v>
      </c>
      <c r="K71" s="10">
        <v>42538.885857776011</v>
      </c>
      <c r="L71" s="10">
        <v>892.11414222398889</v>
      </c>
    </row>
    <row r="72" spans="1:12" x14ac:dyDescent="0.25">
      <c r="A72" s="3">
        <v>41579</v>
      </c>
      <c r="B72" s="1">
        <v>12804</v>
      </c>
      <c r="C72" s="1">
        <v>24961</v>
      </c>
      <c r="D72" s="1">
        <v>2407</v>
      </c>
      <c r="E72" s="1">
        <v>4575</v>
      </c>
      <c r="F72" s="1">
        <v>4588</v>
      </c>
      <c r="G72" s="1">
        <v>8018</v>
      </c>
      <c r="H72" s="4">
        <v>71884</v>
      </c>
      <c r="J72" s="10">
        <v>41</v>
      </c>
      <c r="K72" s="10">
        <v>43139.289385410601</v>
      </c>
      <c r="L72" s="10">
        <v>-1786.2893854106005</v>
      </c>
    </row>
    <row r="73" spans="1:12" x14ac:dyDescent="0.25">
      <c r="A73" s="3">
        <v>41609</v>
      </c>
      <c r="B73" s="1">
        <v>12669</v>
      </c>
      <c r="C73" s="1">
        <v>22961</v>
      </c>
      <c r="D73" s="1">
        <v>2038</v>
      </c>
      <c r="E73" s="1">
        <v>3616</v>
      </c>
      <c r="F73" s="1">
        <v>4482</v>
      </c>
      <c r="G73" s="1">
        <v>7604</v>
      </c>
      <c r="H73" s="4">
        <v>68696</v>
      </c>
      <c r="J73" s="10">
        <v>42</v>
      </c>
      <c r="K73" s="10">
        <v>48170.332397597114</v>
      </c>
      <c r="L73" s="10">
        <v>800.66760240288568</v>
      </c>
    </row>
    <row r="74" spans="1:12" x14ac:dyDescent="0.25">
      <c r="A74" s="3">
        <v>41640</v>
      </c>
      <c r="B74" s="1">
        <v>12741</v>
      </c>
      <c r="C74" s="1">
        <v>23285</v>
      </c>
      <c r="D74" s="1">
        <v>2165</v>
      </c>
      <c r="E74" s="1">
        <v>4020</v>
      </c>
      <c r="F74" s="1">
        <v>4464</v>
      </c>
      <c r="G74" s="1">
        <v>7910</v>
      </c>
      <c r="H74" s="4">
        <v>59568</v>
      </c>
      <c r="J74" s="10">
        <v>43</v>
      </c>
      <c r="K74" s="10">
        <v>46678.401899032593</v>
      </c>
      <c r="L74" s="10">
        <v>7361.5981009674069</v>
      </c>
    </row>
    <row r="75" spans="1:12" x14ac:dyDescent="0.25">
      <c r="A75" s="3">
        <v>41671</v>
      </c>
      <c r="B75" s="1">
        <v>12057</v>
      </c>
      <c r="C75" s="1">
        <v>21715</v>
      </c>
      <c r="D75" s="1">
        <v>1878</v>
      </c>
      <c r="E75" s="1">
        <v>3644</v>
      </c>
      <c r="F75" s="1">
        <v>4236</v>
      </c>
      <c r="G75" s="1">
        <v>6767</v>
      </c>
      <c r="H75" s="4">
        <v>57645</v>
      </c>
      <c r="J75" s="10">
        <v>44</v>
      </c>
      <c r="K75" s="10">
        <v>40267.960218861845</v>
      </c>
      <c r="L75" s="10">
        <v>15144.039781138155</v>
      </c>
    </row>
    <row r="76" spans="1:12" x14ac:dyDescent="0.25">
      <c r="A76" s="3">
        <v>41699</v>
      </c>
      <c r="B76" s="1">
        <v>14396</v>
      </c>
      <c r="C76" s="1">
        <v>24404</v>
      </c>
      <c r="D76" s="1">
        <v>1877</v>
      </c>
      <c r="E76" s="1">
        <v>4338</v>
      </c>
      <c r="F76" s="1">
        <v>4846</v>
      </c>
      <c r="G76" s="1">
        <v>6720</v>
      </c>
      <c r="H76" s="4">
        <v>59558</v>
      </c>
      <c r="J76" s="10">
        <v>45</v>
      </c>
      <c r="K76" s="10">
        <v>50054.646194956687</v>
      </c>
      <c r="L76" s="10">
        <v>4671.3538050433126</v>
      </c>
    </row>
    <row r="77" spans="1:12" x14ac:dyDescent="0.25">
      <c r="A77" s="3">
        <v>41730</v>
      </c>
      <c r="B77" s="1">
        <v>13573</v>
      </c>
      <c r="C77" s="1">
        <v>22665</v>
      </c>
      <c r="D77" s="1">
        <v>1723</v>
      </c>
      <c r="E77" s="1">
        <v>3871</v>
      </c>
      <c r="F77" s="1">
        <v>4703</v>
      </c>
      <c r="G77" s="1">
        <v>5911</v>
      </c>
      <c r="H77" s="4">
        <v>61570</v>
      </c>
      <c r="J77" s="10">
        <v>46</v>
      </c>
      <c r="K77" s="10">
        <v>49203.587317047059</v>
      </c>
      <c r="L77" s="10">
        <v>145.4126829529414</v>
      </c>
    </row>
    <row r="78" spans="1:12" x14ac:dyDescent="0.25">
      <c r="A78" s="3">
        <v>41760</v>
      </c>
      <c r="B78" s="1">
        <v>15346</v>
      </c>
      <c r="C78" s="1">
        <v>23357</v>
      </c>
      <c r="D78" s="1">
        <v>1814</v>
      </c>
      <c r="E78" s="1">
        <v>3928</v>
      </c>
      <c r="F78" s="1">
        <v>4945</v>
      </c>
      <c r="G78" s="1">
        <v>5832</v>
      </c>
      <c r="H78" s="4">
        <v>65719</v>
      </c>
      <c r="J78" s="10">
        <v>47</v>
      </c>
      <c r="K78" s="10">
        <v>47024.257184190974</v>
      </c>
      <c r="L78" s="10">
        <v>3713.7428158090261</v>
      </c>
    </row>
    <row r="79" spans="1:12" x14ac:dyDescent="0.25">
      <c r="A79" s="3">
        <v>41791</v>
      </c>
      <c r="B79" s="1">
        <v>16481</v>
      </c>
      <c r="C79" s="1">
        <v>23441</v>
      </c>
      <c r="D79" s="1">
        <v>1842</v>
      </c>
      <c r="E79" s="1">
        <v>3763</v>
      </c>
      <c r="F79" s="1">
        <v>5110</v>
      </c>
      <c r="G79" s="1">
        <v>5391</v>
      </c>
      <c r="H79" s="4">
        <v>68633</v>
      </c>
      <c r="J79" s="10">
        <v>48</v>
      </c>
      <c r="K79" s="10">
        <v>46091.41064931525</v>
      </c>
      <c r="L79" s="10">
        <v>7286.5893506847497</v>
      </c>
    </row>
    <row r="80" spans="1:12" x14ac:dyDescent="0.25">
      <c r="A80" s="3">
        <v>41821</v>
      </c>
      <c r="B80" s="1">
        <v>17432</v>
      </c>
      <c r="C80" s="1">
        <v>23660</v>
      </c>
      <c r="D80" s="1">
        <v>1687</v>
      </c>
      <c r="E80" s="1">
        <v>3663</v>
      </c>
      <c r="F80" s="1">
        <v>5164</v>
      </c>
      <c r="G80" s="1">
        <v>5701</v>
      </c>
      <c r="H80" s="4">
        <v>72812</v>
      </c>
      <c r="J80" s="10">
        <v>49</v>
      </c>
      <c r="K80" s="10">
        <v>47498.047194478742</v>
      </c>
      <c r="L80" s="10">
        <v>-8507.0471944787423</v>
      </c>
    </row>
    <row r="81" spans="1:12" x14ac:dyDescent="0.25">
      <c r="A81" s="3">
        <v>41852</v>
      </c>
      <c r="B81" s="1">
        <v>15803</v>
      </c>
      <c r="C81" s="1">
        <v>22639</v>
      </c>
      <c r="D81" s="1">
        <v>1744</v>
      </c>
      <c r="E81" s="1">
        <v>3569</v>
      </c>
      <c r="F81" s="1">
        <v>4925</v>
      </c>
      <c r="G81" s="1">
        <v>5893</v>
      </c>
      <c r="H81" s="4">
        <v>73870</v>
      </c>
      <c r="J81" s="10">
        <v>50</v>
      </c>
      <c r="K81" s="10">
        <v>47623.587878839418</v>
      </c>
      <c r="L81" s="10">
        <v>-7803.5878788394184</v>
      </c>
    </row>
    <row r="82" spans="1:12" x14ac:dyDescent="0.25">
      <c r="A82" s="3">
        <v>41883</v>
      </c>
      <c r="B82" s="1">
        <v>16745</v>
      </c>
      <c r="C82" s="1">
        <v>23161</v>
      </c>
      <c r="D82" s="1">
        <v>1743</v>
      </c>
      <c r="E82" s="1">
        <v>3177</v>
      </c>
      <c r="F82" s="1">
        <v>5095</v>
      </c>
      <c r="G82" s="1">
        <v>5767</v>
      </c>
      <c r="H82" s="4">
        <v>67642</v>
      </c>
      <c r="J82" s="10">
        <v>51</v>
      </c>
      <c r="K82" s="10">
        <v>49857.71059202707</v>
      </c>
      <c r="L82" s="10">
        <v>4573.2894079729303</v>
      </c>
    </row>
    <row r="83" spans="1:12" x14ac:dyDescent="0.25">
      <c r="A83" s="3">
        <v>41913</v>
      </c>
      <c r="B83" s="1">
        <v>17297</v>
      </c>
      <c r="C83" s="1">
        <v>24507</v>
      </c>
      <c r="D83" s="1">
        <v>1941</v>
      </c>
      <c r="E83" s="1">
        <v>3671</v>
      </c>
      <c r="F83" s="1">
        <v>5491</v>
      </c>
      <c r="G83" s="1">
        <v>6483</v>
      </c>
      <c r="H83" s="4">
        <v>72234</v>
      </c>
      <c r="J83" s="10">
        <v>52</v>
      </c>
      <c r="K83" s="10">
        <v>48523.502340569001</v>
      </c>
      <c r="L83" s="10">
        <v>-11596.502340569001</v>
      </c>
    </row>
    <row r="84" spans="1:12" x14ac:dyDescent="0.25">
      <c r="A84" s="3">
        <v>41944</v>
      </c>
      <c r="B84" s="1">
        <v>17093</v>
      </c>
      <c r="C84" s="1">
        <v>23729</v>
      </c>
      <c r="D84" s="1">
        <v>1888</v>
      </c>
      <c r="E84" s="1">
        <v>3674</v>
      </c>
      <c r="F84" s="1">
        <v>5281</v>
      </c>
      <c r="G84" s="1">
        <v>6873</v>
      </c>
      <c r="H84" s="4">
        <v>61284</v>
      </c>
      <c r="J84" s="10">
        <v>53</v>
      </c>
      <c r="K84" s="10">
        <v>53886.059889583114</v>
      </c>
      <c r="L84" s="10">
        <v>-8515.0598895831135</v>
      </c>
    </row>
    <row r="85" spans="1:12" x14ac:dyDescent="0.25">
      <c r="A85" s="3">
        <v>41974</v>
      </c>
      <c r="B85" s="1">
        <v>16385</v>
      </c>
      <c r="C85" s="1">
        <v>23317</v>
      </c>
      <c r="D85" s="1">
        <v>1848</v>
      </c>
      <c r="E85" s="1">
        <v>3117</v>
      </c>
      <c r="F85" s="1">
        <v>5019</v>
      </c>
      <c r="G85" s="1">
        <v>6805</v>
      </c>
      <c r="H85" s="4">
        <v>65590</v>
      </c>
      <c r="J85" s="10">
        <v>54</v>
      </c>
      <c r="K85" s="10">
        <v>51731.903041398706</v>
      </c>
      <c r="L85" s="10">
        <v>-1190.9030413987057</v>
      </c>
    </row>
    <row r="86" spans="1:12" x14ac:dyDescent="0.25">
      <c r="A86" s="3">
        <v>42005</v>
      </c>
      <c r="B86" s="1">
        <v>16187</v>
      </c>
      <c r="C86" s="1">
        <v>22985</v>
      </c>
      <c r="D86" s="1">
        <v>1795</v>
      </c>
      <c r="E86" s="1">
        <v>3690</v>
      </c>
      <c r="F86" s="1">
        <v>4823</v>
      </c>
      <c r="G86" s="1">
        <v>6521</v>
      </c>
      <c r="H86" s="4">
        <v>50914</v>
      </c>
      <c r="J86" s="10">
        <v>55</v>
      </c>
      <c r="K86" s="10">
        <v>55308.94741591093</v>
      </c>
      <c r="L86" s="10">
        <v>-2693.9474159109304</v>
      </c>
    </row>
    <row r="87" spans="1:12" x14ac:dyDescent="0.25">
      <c r="A87" s="3">
        <v>42036</v>
      </c>
      <c r="B87" s="1">
        <v>15458</v>
      </c>
      <c r="C87" s="1">
        <v>21243</v>
      </c>
      <c r="D87" s="1">
        <v>1644</v>
      </c>
      <c r="E87" s="1">
        <v>3302</v>
      </c>
      <c r="F87" s="1">
        <v>4628</v>
      </c>
      <c r="G87" s="1">
        <v>5974</v>
      </c>
      <c r="H87" s="4">
        <v>50616</v>
      </c>
      <c r="J87" s="10">
        <v>56</v>
      </c>
      <c r="K87" s="10">
        <v>55588.608783906988</v>
      </c>
      <c r="L87" s="10">
        <v>947.39121609301219</v>
      </c>
    </row>
    <row r="88" spans="1:12" x14ac:dyDescent="0.25">
      <c r="A88" s="3">
        <v>42064</v>
      </c>
      <c r="B88" s="1">
        <v>17660</v>
      </c>
      <c r="C88" s="1">
        <v>24490</v>
      </c>
      <c r="D88" s="1">
        <v>1862</v>
      </c>
      <c r="E88" s="1">
        <v>3237</v>
      </c>
      <c r="F88" s="1">
        <v>5364</v>
      </c>
      <c r="G88" s="1">
        <v>6336</v>
      </c>
      <c r="H88" s="4">
        <v>57058</v>
      </c>
      <c r="J88" s="10">
        <v>57</v>
      </c>
      <c r="K88" s="10">
        <v>53561.131633659272</v>
      </c>
      <c r="L88" s="10">
        <v>-6248.1316336592718</v>
      </c>
    </row>
    <row r="89" spans="1:12" x14ac:dyDescent="0.25">
      <c r="A89" s="3">
        <v>42095</v>
      </c>
      <c r="B89" s="1">
        <v>16579</v>
      </c>
      <c r="C89" s="1">
        <v>23171</v>
      </c>
      <c r="D89" s="1">
        <v>1782</v>
      </c>
      <c r="E89" s="1">
        <v>3057</v>
      </c>
      <c r="F89" s="1">
        <v>5284</v>
      </c>
      <c r="G89" s="1">
        <v>5437</v>
      </c>
      <c r="H89" s="4">
        <v>54602</v>
      </c>
      <c r="J89" s="10">
        <v>58</v>
      </c>
      <c r="K89" s="10">
        <v>54647.082634772218</v>
      </c>
      <c r="L89" s="10">
        <v>-3981.0826347722177</v>
      </c>
    </row>
    <row r="90" spans="1:12" x14ac:dyDescent="0.25">
      <c r="A90" s="3">
        <v>42125</v>
      </c>
      <c r="B90" s="1">
        <v>18982</v>
      </c>
      <c r="C90" s="1">
        <v>24818</v>
      </c>
      <c r="D90" s="1">
        <v>1889</v>
      </c>
      <c r="E90" s="1">
        <v>3082</v>
      </c>
      <c r="F90" s="1">
        <v>5539</v>
      </c>
      <c r="G90" s="1">
        <v>5559</v>
      </c>
      <c r="H90" s="4">
        <v>61003</v>
      </c>
      <c r="J90" s="10">
        <v>59</v>
      </c>
      <c r="K90" s="10">
        <v>49664.335697537201</v>
      </c>
      <c r="L90" s="10">
        <v>4264.6643024627992</v>
      </c>
    </row>
    <row r="91" spans="1:12" x14ac:dyDescent="0.25">
      <c r="A91" s="3">
        <v>42156</v>
      </c>
      <c r="B91" s="1">
        <v>19155</v>
      </c>
      <c r="C91" s="1">
        <v>24628</v>
      </c>
      <c r="D91" s="1">
        <v>1711</v>
      </c>
      <c r="E91" s="1">
        <v>3248</v>
      </c>
      <c r="F91" s="1">
        <v>5461</v>
      </c>
      <c r="G91" s="1">
        <v>5289</v>
      </c>
      <c r="H91" s="4">
        <v>71022</v>
      </c>
      <c r="J91" s="10">
        <v>60</v>
      </c>
      <c r="K91" s="10">
        <v>50733.843925408713</v>
      </c>
      <c r="L91" s="10">
        <v>-2788.8439254087134</v>
      </c>
    </row>
    <row r="92" spans="1:12" x14ac:dyDescent="0.25">
      <c r="A92" s="3">
        <v>42186</v>
      </c>
      <c r="B92" s="1">
        <v>19738</v>
      </c>
      <c r="C92" s="1">
        <v>24324</v>
      </c>
      <c r="D92" s="1">
        <v>1789</v>
      </c>
      <c r="E92" s="1">
        <v>3467</v>
      </c>
      <c r="F92" s="1">
        <v>5597</v>
      </c>
      <c r="G92" s="1">
        <v>5400</v>
      </c>
      <c r="H92" s="4">
        <v>77860</v>
      </c>
      <c r="J92" s="10">
        <v>61</v>
      </c>
      <c r="K92" s="10">
        <v>51281.504112029113</v>
      </c>
      <c r="L92" s="10">
        <v>-11804.504112029113</v>
      </c>
    </row>
    <row r="93" spans="1:12" x14ac:dyDescent="0.25">
      <c r="A93" s="3">
        <v>42217</v>
      </c>
      <c r="B93" s="1">
        <v>18478</v>
      </c>
      <c r="C93" s="1">
        <v>22611</v>
      </c>
      <c r="D93" s="1">
        <v>1758</v>
      </c>
      <c r="E93" s="1">
        <v>3451</v>
      </c>
      <c r="F93" s="1">
        <v>5163</v>
      </c>
      <c r="G93" s="1">
        <v>5372</v>
      </c>
      <c r="H93" s="4">
        <v>70037</v>
      </c>
      <c r="J93" s="10">
        <v>62</v>
      </c>
      <c r="K93" s="10">
        <v>52952.023297101143</v>
      </c>
      <c r="L93" s="10">
        <v>-13104.023297101143</v>
      </c>
    </row>
    <row r="94" spans="1:12" x14ac:dyDescent="0.25">
      <c r="A94" s="3">
        <v>42248</v>
      </c>
      <c r="B94" s="1">
        <v>18290</v>
      </c>
      <c r="C94" s="1">
        <v>22602</v>
      </c>
      <c r="D94" s="1">
        <v>1721</v>
      </c>
      <c r="E94" s="1">
        <v>3363</v>
      </c>
      <c r="F94" s="1">
        <v>4903</v>
      </c>
      <c r="G94" s="1">
        <v>5419</v>
      </c>
      <c r="H94" s="4">
        <v>70028</v>
      </c>
      <c r="J94" s="10">
        <v>63</v>
      </c>
      <c r="K94" s="10">
        <v>53902.336013295651</v>
      </c>
      <c r="L94" s="10">
        <v>-7224.3360132956514</v>
      </c>
    </row>
    <row r="95" spans="1:12" x14ac:dyDescent="0.25">
      <c r="A95" s="3">
        <v>42278</v>
      </c>
      <c r="B95" s="1">
        <v>19873</v>
      </c>
      <c r="C95" s="1">
        <v>24475</v>
      </c>
      <c r="D95" s="1">
        <v>1812</v>
      </c>
      <c r="E95" s="1">
        <v>3618</v>
      </c>
      <c r="F95" s="1">
        <v>5383</v>
      </c>
      <c r="G95" s="1">
        <v>5941</v>
      </c>
      <c r="H95" s="4">
        <v>74213</v>
      </c>
      <c r="J95" s="10">
        <v>64</v>
      </c>
      <c r="K95" s="10">
        <v>54795.063407963353</v>
      </c>
      <c r="L95" s="10">
        <v>-10305.063407963353</v>
      </c>
    </row>
    <row r="96" spans="1:12" x14ac:dyDescent="0.25">
      <c r="A96" s="3">
        <v>42309</v>
      </c>
      <c r="B96" s="1">
        <v>19259</v>
      </c>
      <c r="C96" s="1">
        <v>24719</v>
      </c>
      <c r="D96" s="1">
        <v>1864</v>
      </c>
      <c r="E96" s="1">
        <v>3231</v>
      </c>
      <c r="F96" s="1">
        <v>5435</v>
      </c>
      <c r="G96" s="1">
        <v>6783</v>
      </c>
      <c r="H96" s="4">
        <v>66359</v>
      </c>
      <c r="J96" s="10">
        <v>65</v>
      </c>
      <c r="K96" s="10">
        <v>54889.150247862315</v>
      </c>
      <c r="L96" s="10">
        <v>1243.8497521376848</v>
      </c>
    </row>
    <row r="97" spans="1:12" x14ac:dyDescent="0.25">
      <c r="A97" s="3">
        <v>42339</v>
      </c>
      <c r="B97" s="1">
        <v>19081</v>
      </c>
      <c r="C97" s="1">
        <v>23956</v>
      </c>
      <c r="D97" s="1">
        <v>1756</v>
      </c>
      <c r="E97" s="1">
        <v>3039</v>
      </c>
      <c r="F97" s="1">
        <v>5396</v>
      </c>
      <c r="G97" s="1">
        <v>6458</v>
      </c>
      <c r="H97" s="4">
        <v>66746</v>
      </c>
      <c r="J97" s="10">
        <v>66</v>
      </c>
      <c r="K97" s="10">
        <v>56267.288463396202</v>
      </c>
      <c r="L97" s="10">
        <v>-129.28846339620213</v>
      </c>
    </row>
    <row r="98" spans="1:12" x14ac:dyDescent="0.25">
      <c r="A98" s="3">
        <v>42370</v>
      </c>
      <c r="B98" s="1">
        <v>18266</v>
      </c>
      <c r="C98" s="1">
        <v>22316</v>
      </c>
      <c r="D98" s="1">
        <v>1810</v>
      </c>
      <c r="E98" s="1">
        <v>3828</v>
      </c>
      <c r="F98" s="1">
        <v>5049</v>
      </c>
      <c r="G98" s="1">
        <v>6302</v>
      </c>
      <c r="H98" s="4">
        <v>51950</v>
      </c>
      <c r="J98" s="10">
        <v>67</v>
      </c>
      <c r="K98" s="10">
        <v>57153.706153777253</v>
      </c>
      <c r="L98" s="10">
        <v>8117.2938462227467</v>
      </c>
    </row>
    <row r="99" spans="1:12" x14ac:dyDescent="0.25">
      <c r="A99" s="3">
        <v>42401</v>
      </c>
      <c r="B99" s="1">
        <v>17642</v>
      </c>
      <c r="C99" s="1">
        <v>22028</v>
      </c>
      <c r="D99" s="1">
        <v>1646</v>
      </c>
      <c r="E99" s="1">
        <v>3397</v>
      </c>
      <c r="F99" s="1">
        <v>5010</v>
      </c>
      <c r="G99" s="1">
        <v>5841</v>
      </c>
      <c r="H99" s="4">
        <v>55385</v>
      </c>
      <c r="J99" s="10">
        <v>68</v>
      </c>
      <c r="K99" s="10">
        <v>55428.594253818352</v>
      </c>
      <c r="L99" s="10">
        <v>13561.405746181648</v>
      </c>
    </row>
    <row r="100" spans="1:12" x14ac:dyDescent="0.25">
      <c r="A100" s="3">
        <v>42430</v>
      </c>
      <c r="B100" s="1">
        <v>18863</v>
      </c>
      <c r="C100" s="1">
        <v>23117</v>
      </c>
      <c r="D100" s="1">
        <v>1711</v>
      </c>
      <c r="E100" s="1">
        <v>3324</v>
      </c>
      <c r="F100" s="1">
        <v>5092</v>
      </c>
      <c r="G100" s="1">
        <v>5804</v>
      </c>
      <c r="H100" s="4">
        <v>107610</v>
      </c>
      <c r="J100" s="10">
        <v>69</v>
      </c>
      <c r="K100" s="10">
        <v>55279.840729203577</v>
      </c>
      <c r="L100" s="10">
        <v>6848.1592707964228</v>
      </c>
    </row>
    <row r="101" spans="1:12" x14ac:dyDescent="0.25">
      <c r="A101" s="3">
        <v>42461</v>
      </c>
      <c r="B101" s="1">
        <v>18668</v>
      </c>
      <c r="C101" s="1">
        <v>23149</v>
      </c>
      <c r="D101" s="1">
        <v>1570</v>
      </c>
      <c r="E101" s="1">
        <v>3389</v>
      </c>
      <c r="F101" s="1">
        <v>5224</v>
      </c>
      <c r="G101" s="1">
        <v>5335</v>
      </c>
      <c r="H101" s="4">
        <v>41972</v>
      </c>
      <c r="J101" s="10">
        <v>70</v>
      </c>
      <c r="K101" s="10">
        <v>58321.997954035221</v>
      </c>
      <c r="L101" s="10">
        <v>9328.0020459647785</v>
      </c>
    </row>
    <row r="102" spans="1:12" x14ac:dyDescent="0.25">
      <c r="A102" s="3">
        <v>42491</v>
      </c>
      <c r="B102" s="1">
        <v>20639</v>
      </c>
      <c r="C102" s="1">
        <v>25374</v>
      </c>
      <c r="D102" s="1">
        <v>1787</v>
      </c>
      <c r="E102" s="1">
        <v>3276</v>
      </c>
      <c r="F102" s="1">
        <v>5967</v>
      </c>
      <c r="G102" s="1">
        <v>5404</v>
      </c>
      <c r="H102" s="4">
        <v>48164</v>
      </c>
      <c r="J102" s="10">
        <v>71</v>
      </c>
      <c r="K102" s="10">
        <v>54117.705032935002</v>
      </c>
      <c r="L102" s="10">
        <v>17766.294967064998</v>
      </c>
    </row>
    <row r="103" spans="1:12" x14ac:dyDescent="0.25">
      <c r="A103" s="3">
        <v>42522</v>
      </c>
      <c r="B103" s="1">
        <v>20463</v>
      </c>
      <c r="C103" s="1">
        <v>24722</v>
      </c>
      <c r="D103" s="1">
        <v>1885</v>
      </c>
      <c r="E103" s="1">
        <v>3041</v>
      </c>
      <c r="F103" s="1">
        <v>5338</v>
      </c>
      <c r="G103" s="1">
        <v>5381</v>
      </c>
      <c r="H103" s="4">
        <v>60519</v>
      </c>
      <c r="J103" s="10">
        <v>72</v>
      </c>
      <c r="K103" s="10">
        <v>54292.638336532182</v>
      </c>
      <c r="L103" s="10">
        <v>14403.361663467818</v>
      </c>
    </row>
    <row r="104" spans="1:12" x14ac:dyDescent="0.25">
      <c r="A104" s="3">
        <v>42552</v>
      </c>
      <c r="B104" s="1">
        <v>21733</v>
      </c>
      <c r="C104" s="1">
        <v>25837</v>
      </c>
      <c r="D104" s="1">
        <v>1960</v>
      </c>
      <c r="E104" s="1">
        <v>3372</v>
      </c>
      <c r="F104" s="1">
        <v>5773</v>
      </c>
      <c r="G104" s="1">
        <v>5387</v>
      </c>
      <c r="H104" s="4">
        <v>63760</v>
      </c>
      <c r="J104" s="10">
        <v>73</v>
      </c>
      <c r="K104" s="10">
        <v>53607.557807917736</v>
      </c>
      <c r="L104" s="10">
        <v>5960.4421920822642</v>
      </c>
    </row>
    <row r="105" spans="1:12" x14ac:dyDescent="0.25">
      <c r="A105" s="3">
        <v>42583</v>
      </c>
      <c r="B105" s="1">
        <v>19762</v>
      </c>
      <c r="C105" s="1">
        <v>25176</v>
      </c>
      <c r="D105" s="1">
        <v>1910</v>
      </c>
      <c r="E105" s="1">
        <v>3442</v>
      </c>
      <c r="F105" s="1">
        <v>5584</v>
      </c>
      <c r="G105" s="1">
        <v>5406</v>
      </c>
      <c r="H105" s="4">
        <v>63514</v>
      </c>
      <c r="J105" s="10">
        <v>74</v>
      </c>
      <c r="K105" s="10">
        <v>55990.056128404249</v>
      </c>
      <c r="L105" s="10">
        <v>1654.9438715957513</v>
      </c>
    </row>
    <row r="106" spans="1:12" x14ac:dyDescent="0.25">
      <c r="A106" s="3">
        <v>42614</v>
      </c>
      <c r="B106" s="1">
        <v>19534</v>
      </c>
      <c r="C106" s="1">
        <v>24999</v>
      </c>
      <c r="D106" s="1">
        <v>1980</v>
      </c>
      <c r="E106" s="1">
        <v>3091</v>
      </c>
      <c r="F106" s="1">
        <v>5210</v>
      </c>
      <c r="G106" s="1">
        <v>5280</v>
      </c>
      <c r="H106" s="4">
        <v>60962</v>
      </c>
      <c r="J106" s="10">
        <v>75</v>
      </c>
      <c r="K106" s="10">
        <v>61428.688974689016</v>
      </c>
      <c r="L106" s="10">
        <v>-1870.6889746890156</v>
      </c>
    </row>
    <row r="107" spans="1:12" x14ac:dyDescent="0.25">
      <c r="A107" s="3">
        <v>42644</v>
      </c>
      <c r="B107" s="1">
        <v>19588</v>
      </c>
      <c r="C107" s="1">
        <v>26303</v>
      </c>
      <c r="D107" s="1">
        <v>2048</v>
      </c>
      <c r="E107" s="1">
        <v>3204</v>
      </c>
      <c r="F107" s="1">
        <v>5456</v>
      </c>
      <c r="G107" s="1">
        <v>5475</v>
      </c>
      <c r="H107" s="4">
        <v>58015</v>
      </c>
      <c r="J107" s="10">
        <v>76</v>
      </c>
      <c r="K107" s="10">
        <v>61009.350337959288</v>
      </c>
      <c r="L107" s="10">
        <v>560.64966204071243</v>
      </c>
    </row>
    <row r="108" spans="1:12" x14ac:dyDescent="0.25">
      <c r="A108" s="3">
        <v>42675</v>
      </c>
      <c r="B108" s="1">
        <v>18441</v>
      </c>
      <c r="C108" s="1">
        <v>25384</v>
      </c>
      <c r="D108" s="1">
        <v>1983</v>
      </c>
      <c r="E108" s="1">
        <v>2894</v>
      </c>
      <c r="F108" s="1">
        <v>5092</v>
      </c>
      <c r="G108" s="1">
        <v>6066</v>
      </c>
      <c r="H108" s="4">
        <v>59633</v>
      </c>
      <c r="J108" s="10">
        <v>77</v>
      </c>
      <c r="K108" s="10">
        <v>62503.709798071592</v>
      </c>
      <c r="L108" s="10">
        <v>3215.2902019284084</v>
      </c>
    </row>
    <row r="109" spans="1:12" x14ac:dyDescent="0.25">
      <c r="A109" s="3">
        <v>42705</v>
      </c>
      <c r="B109" s="1">
        <v>18782</v>
      </c>
      <c r="C109" s="1">
        <v>25728</v>
      </c>
      <c r="D109" s="1">
        <v>2238</v>
      </c>
      <c r="E109" s="1">
        <v>2656</v>
      </c>
      <c r="F109" s="1">
        <v>5276</v>
      </c>
      <c r="G109" s="1">
        <v>6604</v>
      </c>
      <c r="H109" s="4">
        <v>63737</v>
      </c>
      <c r="J109" s="10">
        <v>78</v>
      </c>
      <c r="K109" s="10">
        <v>63771.146733431902</v>
      </c>
      <c r="L109" s="10">
        <v>4861.8532665680978</v>
      </c>
    </row>
    <row r="110" spans="1:12" x14ac:dyDescent="0.25">
      <c r="J110" s="10">
        <v>79</v>
      </c>
      <c r="K110" s="10">
        <v>65481.27786608148</v>
      </c>
      <c r="L110" s="10">
        <v>7330.7221339185198</v>
      </c>
    </row>
    <row r="111" spans="1:12" x14ac:dyDescent="0.25">
      <c r="J111" s="10">
        <v>80</v>
      </c>
      <c r="K111" s="10">
        <v>61969.820439055336</v>
      </c>
      <c r="L111" s="10">
        <v>11900.179560944664</v>
      </c>
    </row>
    <row r="112" spans="1:12" x14ac:dyDescent="0.25">
      <c r="J112" s="10">
        <v>81</v>
      </c>
      <c r="K112" s="10">
        <v>62956.530522841182</v>
      </c>
      <c r="L112" s="10">
        <v>4685.4694771588183</v>
      </c>
    </row>
    <row r="113" spans="10:12" x14ac:dyDescent="0.25">
      <c r="J113" s="10">
        <v>82</v>
      </c>
      <c r="K113" s="10">
        <v>61399.496585819739</v>
      </c>
      <c r="L113" s="10">
        <v>10834.503414180261</v>
      </c>
    </row>
    <row r="114" spans="10:12" x14ac:dyDescent="0.25">
      <c r="J114" s="10">
        <v>83</v>
      </c>
      <c r="K114" s="10">
        <v>60324.821963278897</v>
      </c>
      <c r="L114" s="10">
        <v>959.17803672110313</v>
      </c>
    </row>
    <row r="115" spans="10:12" x14ac:dyDescent="0.25">
      <c r="J115" s="10">
        <v>84</v>
      </c>
      <c r="K115" s="10">
        <v>59703.349108706621</v>
      </c>
      <c r="L115" s="10">
        <v>5886.6508912933787</v>
      </c>
    </row>
    <row r="116" spans="10:12" x14ac:dyDescent="0.25">
      <c r="J116" s="10">
        <v>85</v>
      </c>
      <c r="K116" s="10">
        <v>61545.9656967068</v>
      </c>
      <c r="L116" s="10">
        <v>-10631.9656967068</v>
      </c>
    </row>
    <row r="117" spans="10:12" x14ac:dyDescent="0.25">
      <c r="J117" s="10">
        <v>86</v>
      </c>
      <c r="K117" s="10">
        <v>60885.081975868772</v>
      </c>
      <c r="L117" s="10">
        <v>-10269.081975868772</v>
      </c>
    </row>
    <row r="118" spans="10:12" x14ac:dyDescent="0.25">
      <c r="J118" s="10">
        <v>87</v>
      </c>
      <c r="K118" s="10">
        <v>62718.090664384334</v>
      </c>
      <c r="L118" s="10">
        <v>-5660.0906643843336</v>
      </c>
    </row>
    <row r="119" spans="10:12" x14ac:dyDescent="0.25">
      <c r="J119" s="10">
        <v>88</v>
      </c>
      <c r="K119" s="10">
        <v>62356.531475584037</v>
      </c>
      <c r="L119" s="10">
        <v>-7754.5314755840373</v>
      </c>
    </row>
    <row r="120" spans="10:12" x14ac:dyDescent="0.25">
      <c r="J120" s="10">
        <v>89</v>
      </c>
      <c r="K120" s="10">
        <v>65317.613379103306</v>
      </c>
      <c r="L120" s="10">
        <v>-4314.6133791033062</v>
      </c>
    </row>
    <row r="121" spans="10:12" x14ac:dyDescent="0.25">
      <c r="J121" s="10">
        <v>90</v>
      </c>
      <c r="K121" s="10">
        <v>67922.313067655923</v>
      </c>
      <c r="L121" s="10">
        <v>3099.6869323440769</v>
      </c>
    </row>
    <row r="122" spans="10:12" x14ac:dyDescent="0.25">
      <c r="J122" s="10">
        <v>91</v>
      </c>
      <c r="K122" s="10">
        <v>66881.035763897613</v>
      </c>
      <c r="L122" s="10">
        <v>10978.964236102387</v>
      </c>
    </row>
    <row r="123" spans="10:12" x14ac:dyDescent="0.25">
      <c r="J123" s="10">
        <v>92</v>
      </c>
      <c r="K123" s="10">
        <v>64782.719909563639</v>
      </c>
      <c r="L123" s="10">
        <v>5254.2800904363612</v>
      </c>
    </row>
    <row r="124" spans="10:12" x14ac:dyDescent="0.25">
      <c r="J124" s="10">
        <v>93</v>
      </c>
      <c r="K124" s="10">
        <v>65636.795977933871</v>
      </c>
      <c r="L124" s="10">
        <v>4391.2040220661293</v>
      </c>
    </row>
    <row r="125" spans="10:12" x14ac:dyDescent="0.25">
      <c r="J125" s="10">
        <v>94</v>
      </c>
      <c r="K125" s="10">
        <v>66789.153245711481</v>
      </c>
      <c r="L125" s="10">
        <v>7423.8467542885192</v>
      </c>
    </row>
    <row r="126" spans="10:12" x14ac:dyDescent="0.25">
      <c r="J126" s="10">
        <v>95</v>
      </c>
      <c r="K126" s="10">
        <v>63450.938535241694</v>
      </c>
      <c r="L126" s="10">
        <v>2908.0614647583061</v>
      </c>
    </row>
    <row r="127" spans="10:12" x14ac:dyDescent="0.25">
      <c r="J127" s="10">
        <v>96</v>
      </c>
      <c r="K127" s="10">
        <v>63685.701699664656</v>
      </c>
      <c r="L127" s="10">
        <v>3060.2983003353438</v>
      </c>
    </row>
    <row r="128" spans="10:12" x14ac:dyDescent="0.25">
      <c r="J128" s="10">
        <v>97</v>
      </c>
      <c r="K128" s="10">
        <v>62397.009321874866</v>
      </c>
      <c r="L128" s="10">
        <v>-10447.009321874866</v>
      </c>
    </row>
    <row r="129" spans="10:12" x14ac:dyDescent="0.25">
      <c r="J129" s="10">
        <v>98</v>
      </c>
      <c r="K129" s="10">
        <v>63420.850171684113</v>
      </c>
      <c r="L129" s="10">
        <v>-8035.8501716841129</v>
      </c>
    </row>
    <row r="130" spans="10:12" x14ac:dyDescent="0.25">
      <c r="J130" s="10">
        <v>99</v>
      </c>
      <c r="K130" s="10">
        <v>65516.008069766285</v>
      </c>
      <c r="L130" s="10">
        <v>42093.991930233715</v>
      </c>
    </row>
    <row r="131" spans="10:12" x14ac:dyDescent="0.25">
      <c r="J131" s="10">
        <v>100</v>
      </c>
      <c r="K131" s="10">
        <v>67306.49383915207</v>
      </c>
      <c r="L131" s="10">
        <v>-25334.49383915207</v>
      </c>
    </row>
    <row r="132" spans="10:12" x14ac:dyDescent="0.25">
      <c r="J132" s="10">
        <v>101</v>
      </c>
      <c r="K132" s="10">
        <v>67887.495910557394</v>
      </c>
      <c r="L132" s="10">
        <v>-19723.495910557394</v>
      </c>
    </row>
    <row r="133" spans="10:12" x14ac:dyDescent="0.25">
      <c r="J133" s="10">
        <v>102</v>
      </c>
      <c r="K133" s="10">
        <v>67850.043150706479</v>
      </c>
      <c r="L133" s="10">
        <v>-7331.0431507064786</v>
      </c>
    </row>
    <row r="134" spans="10:12" x14ac:dyDescent="0.25">
      <c r="J134" s="10">
        <v>103</v>
      </c>
      <c r="K134" s="10">
        <v>69070.422520674547</v>
      </c>
      <c r="L134" s="10">
        <v>-5310.4225206745468</v>
      </c>
    </row>
    <row r="135" spans="10:12" x14ac:dyDescent="0.25">
      <c r="J135" s="10">
        <v>104</v>
      </c>
      <c r="K135" s="10">
        <v>67150.550612981373</v>
      </c>
      <c r="L135" s="10">
        <v>-3636.550612981373</v>
      </c>
    </row>
    <row r="136" spans="10:12" x14ac:dyDescent="0.25">
      <c r="J136" s="10">
        <v>105</v>
      </c>
      <c r="K136" s="10">
        <v>67211.651351849432</v>
      </c>
      <c r="L136" s="10">
        <v>-6249.6513518494321</v>
      </c>
    </row>
    <row r="137" spans="10:12" x14ac:dyDescent="0.25">
      <c r="J137" s="10">
        <v>106</v>
      </c>
      <c r="K137" s="10">
        <v>67495.686828975216</v>
      </c>
      <c r="L137" s="10">
        <v>-9480.6868289752165</v>
      </c>
    </row>
    <row r="138" spans="10:12" x14ac:dyDescent="0.25">
      <c r="J138" s="10">
        <v>107</v>
      </c>
      <c r="K138" s="10">
        <v>65023.873212856488</v>
      </c>
      <c r="L138" s="10">
        <v>-5390.873212856488</v>
      </c>
    </row>
    <row r="139" spans="10:12" ht="15.75" thickBot="1" x14ac:dyDescent="0.3">
      <c r="J139" s="11">
        <v>108</v>
      </c>
      <c r="K139" s="11">
        <v>61413.931328591527</v>
      </c>
      <c r="L139" s="11">
        <v>2323.0686714084732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06E22-56CB-4F77-94D1-776C48A6900B}">
  <dimension ref="A1:Q61"/>
  <sheetViews>
    <sheetView tabSelected="1" workbookViewId="0">
      <selection activeCell="M6" sqref="M6"/>
    </sheetView>
  </sheetViews>
  <sheetFormatPr defaultRowHeight="15" x14ac:dyDescent="0.25"/>
  <cols>
    <col min="1" max="1" width="9.140625" style="1"/>
    <col min="2" max="2" width="26.42578125" style="1" bestFit="1" customWidth="1"/>
    <col min="3" max="3" width="18" style="1" bestFit="1" customWidth="1"/>
    <col min="4" max="4" width="8.42578125" style="1" bestFit="1" customWidth="1"/>
    <col min="5" max="5" width="6" style="1" bestFit="1" customWidth="1"/>
    <col min="6" max="6" width="16.140625" style="1" bestFit="1" customWidth="1"/>
    <col min="7" max="7" width="8.28515625" style="1" bestFit="1" customWidth="1"/>
    <col min="8" max="8" width="9.140625" style="1"/>
    <col min="9" max="9" width="30.85546875" style="1" bestFit="1" customWidth="1"/>
    <col min="10" max="16384" width="9.140625" style="1"/>
  </cols>
  <sheetData>
    <row r="1" spans="1:17" x14ac:dyDescent="0.25">
      <c r="A1" s="2" t="s">
        <v>35</v>
      </c>
      <c r="B1" s="2" t="s">
        <v>7</v>
      </c>
      <c r="C1" s="2" t="s">
        <v>6</v>
      </c>
      <c r="D1" s="2" t="s">
        <v>5</v>
      </c>
      <c r="E1" s="2" t="s">
        <v>3</v>
      </c>
      <c r="F1" s="2" t="s">
        <v>2</v>
      </c>
      <c r="G1" s="2" t="s">
        <v>1</v>
      </c>
      <c r="I1" s="2" t="s">
        <v>36</v>
      </c>
      <c r="K1" s="14" t="s">
        <v>37</v>
      </c>
      <c r="L1" s="14" t="s">
        <v>38</v>
      </c>
      <c r="M1" s="14" t="s">
        <v>39</v>
      </c>
      <c r="N1" s="14" t="s">
        <v>40</v>
      </c>
      <c r="O1" s="14" t="s">
        <v>41</v>
      </c>
      <c r="P1" s="14" t="s">
        <v>42</v>
      </c>
      <c r="Q1" s="14" t="s">
        <v>43</v>
      </c>
    </row>
    <row r="2" spans="1:17" x14ac:dyDescent="0.25">
      <c r="A2" s="3">
        <v>42736</v>
      </c>
      <c r="B2" s="1">
        <v>18418.73</v>
      </c>
      <c r="C2" s="1">
        <v>24102.75</v>
      </c>
      <c r="D2" s="1">
        <v>2172.2060000000001</v>
      </c>
      <c r="E2" s="1">
        <v>3280.317</v>
      </c>
      <c r="F2" s="1">
        <v>5052.2020000000002</v>
      </c>
      <c r="G2" s="1">
        <v>6356.018</v>
      </c>
      <c r="I2" s="16">
        <f>$K$2+SUMPRODUCT(B2:G2,$L$2:$Q$2)</f>
        <v>61256.23712203536</v>
      </c>
      <c r="K2" s="15">
        <v>52585.519330612209</v>
      </c>
      <c r="L2" s="15">
        <v>1.0512795714205017</v>
      </c>
      <c r="M2" s="15">
        <v>1.566982980303786</v>
      </c>
      <c r="N2" s="15">
        <v>-9.0322683007561633</v>
      </c>
      <c r="O2" s="15">
        <v>1.2679258895711158</v>
      </c>
      <c r="P2" s="15">
        <v>-3.6562774719813032</v>
      </c>
      <c r="Q2" s="15">
        <v>-2.2857258923579016</v>
      </c>
    </row>
    <row r="3" spans="1:17" x14ac:dyDescent="0.25">
      <c r="A3" s="3">
        <v>42767</v>
      </c>
      <c r="B3" s="1">
        <v>17718.64</v>
      </c>
      <c r="C3" s="1">
        <v>23392.560000000001</v>
      </c>
      <c r="D3" s="1">
        <v>2053.19</v>
      </c>
      <c r="E3" s="1">
        <v>2994.489</v>
      </c>
      <c r="F3" s="1">
        <v>4907.3850000000002</v>
      </c>
      <c r="G3" s="1">
        <v>5502.558</v>
      </c>
      <c r="I3" s="16">
        <f t="shared" ref="I3:I61" si="0">$K$2+SUMPRODUCT(B3:G3,$L$2:$Q$2)</f>
        <v>62600.233641767802</v>
      </c>
    </row>
    <row r="4" spans="1:17" x14ac:dyDescent="0.25">
      <c r="A4" s="3">
        <v>42795</v>
      </c>
      <c r="B4" s="1">
        <v>19411.580000000002</v>
      </c>
      <c r="C4" s="1">
        <v>25042.86</v>
      </c>
      <c r="D4" s="1">
        <v>2133.0720000000001</v>
      </c>
      <c r="E4" s="1">
        <v>2942.0540000000001</v>
      </c>
      <c r="F4" s="1">
        <v>5247.8339999999998</v>
      </c>
      <c r="G4" s="1">
        <v>5544.6710000000003</v>
      </c>
      <c r="I4" s="16">
        <f t="shared" si="0"/>
        <v>64836.944757819663</v>
      </c>
    </row>
    <row r="5" spans="1:17" x14ac:dyDescent="0.25">
      <c r="A5" s="3">
        <v>42826</v>
      </c>
      <c r="B5" s="1">
        <v>18830.91</v>
      </c>
      <c r="C5" s="1">
        <v>24228.47</v>
      </c>
      <c r="D5" s="1">
        <v>2041.453</v>
      </c>
      <c r="E5" s="1">
        <v>2879.0050000000001</v>
      </c>
      <c r="F5" s="1">
        <v>5299.16</v>
      </c>
      <c r="G5" s="1">
        <v>4797.9340000000002</v>
      </c>
      <c r="I5" s="16">
        <f t="shared" si="0"/>
        <v>65217.122907943478</v>
      </c>
    </row>
    <row r="6" spans="1:17" x14ac:dyDescent="0.25">
      <c r="A6" s="3">
        <v>42856</v>
      </c>
      <c r="B6" s="1">
        <v>20537.240000000002</v>
      </c>
      <c r="C6" s="1">
        <v>25687.29</v>
      </c>
      <c r="D6" s="1">
        <v>2146.9679999999998</v>
      </c>
      <c r="E6" s="1">
        <v>2855.788</v>
      </c>
      <c r="F6" s="1">
        <v>5791.2520000000004</v>
      </c>
      <c r="G6" s="1">
        <v>4796.9620000000004</v>
      </c>
      <c r="I6" s="16">
        <f t="shared" si="0"/>
        <v>66517.418497064878</v>
      </c>
    </row>
    <row r="7" spans="1:17" x14ac:dyDescent="0.25">
      <c r="A7" s="3">
        <v>42887</v>
      </c>
      <c r="B7" s="1">
        <v>20686.22</v>
      </c>
      <c r="C7" s="1">
        <v>25286.99</v>
      </c>
      <c r="D7" s="1">
        <v>2148.7739999999999</v>
      </c>
      <c r="E7" s="1">
        <v>2860.1</v>
      </c>
      <c r="F7" s="1">
        <v>5426.3019999999997</v>
      </c>
      <c r="G7" s="1">
        <v>4492.2259999999997</v>
      </c>
      <c r="I7" s="16">
        <f t="shared" si="0"/>
        <v>68066.831289417329</v>
      </c>
    </row>
    <row r="8" spans="1:17" x14ac:dyDescent="0.25">
      <c r="A8" s="3">
        <v>42917</v>
      </c>
      <c r="B8" s="1">
        <v>21541.27</v>
      </c>
      <c r="C8" s="1">
        <v>25846.62</v>
      </c>
      <c r="D8" s="1">
        <v>2185.605</v>
      </c>
      <c r="E8" s="1">
        <v>3062.9189999999999</v>
      </c>
      <c r="F8" s="1">
        <v>5649.8429999999998</v>
      </c>
      <c r="G8" s="1">
        <v>4687.3</v>
      </c>
      <c r="I8" s="16">
        <f t="shared" si="0"/>
        <v>68503.936944349611</v>
      </c>
    </row>
    <row r="9" spans="1:17" x14ac:dyDescent="0.25">
      <c r="A9" s="3">
        <v>42948</v>
      </c>
      <c r="B9" s="1">
        <v>20099.43</v>
      </c>
      <c r="C9" s="1">
        <v>24883.59</v>
      </c>
      <c r="D9" s="1">
        <v>2154.4609999999998</v>
      </c>
      <c r="E9" s="1">
        <v>3077.0639999999999</v>
      </c>
      <c r="F9" s="1">
        <v>5472.0889999999999</v>
      </c>
      <c r="G9" s="1">
        <v>4791.2619999999997</v>
      </c>
      <c r="I9" s="16">
        <f t="shared" si="0"/>
        <v>66190.633473770707</v>
      </c>
    </row>
    <row r="10" spans="1:17" x14ac:dyDescent="0.25">
      <c r="A10" s="3">
        <v>42979</v>
      </c>
      <c r="B10" s="1">
        <v>19933.61</v>
      </c>
      <c r="C10" s="1">
        <v>24924.28</v>
      </c>
      <c r="D10" s="1">
        <v>2166.5610000000001</v>
      </c>
      <c r="E10" s="1">
        <v>2928.5279999999998</v>
      </c>
      <c r="F10" s="1">
        <v>5135.6329999999998</v>
      </c>
      <c r="G10" s="1">
        <v>4701.9430000000002</v>
      </c>
      <c r="I10" s="16">
        <f t="shared" si="0"/>
        <v>67216.782990426276</v>
      </c>
    </row>
    <row r="11" spans="1:17" x14ac:dyDescent="0.25">
      <c r="A11" s="3">
        <v>43009</v>
      </c>
      <c r="B11" s="1">
        <v>20579.16</v>
      </c>
      <c r="C11" s="1">
        <v>26230.639999999999</v>
      </c>
      <c r="D11" s="1">
        <v>2225.5030000000002</v>
      </c>
      <c r="E11" s="1">
        <v>3080.9140000000002</v>
      </c>
      <c r="F11" s="1">
        <v>5377.56</v>
      </c>
      <c r="G11" s="1">
        <v>5252.1589999999997</v>
      </c>
      <c r="I11" s="16">
        <f t="shared" si="0"/>
        <v>67461.11940277784</v>
      </c>
    </row>
    <row r="12" spans="1:17" x14ac:dyDescent="0.25">
      <c r="A12" s="3">
        <v>43040</v>
      </c>
      <c r="B12" s="1">
        <v>19949.75</v>
      </c>
      <c r="C12" s="1">
        <v>25407.599999999999</v>
      </c>
      <c r="D12" s="1">
        <v>2212.4169999999999</v>
      </c>
      <c r="E12" s="1">
        <v>2807.0509999999999</v>
      </c>
      <c r="F12" s="1">
        <v>5132.2060000000001</v>
      </c>
      <c r="G12" s="1">
        <v>5786.0860000000002</v>
      </c>
      <c r="I12" s="16">
        <f t="shared" si="0"/>
        <v>64957.373665040432</v>
      </c>
    </row>
    <row r="13" spans="1:17" x14ac:dyDescent="0.25">
      <c r="A13" s="3">
        <v>43070</v>
      </c>
      <c r="B13" s="1">
        <v>19720.36</v>
      </c>
      <c r="C13" s="1">
        <v>25308.09</v>
      </c>
      <c r="D13" s="1">
        <v>2256.768</v>
      </c>
      <c r="E13" s="1">
        <v>2645.2869999999998</v>
      </c>
      <c r="F13" s="1">
        <v>5040.57</v>
      </c>
      <c r="G13" s="1">
        <v>5808.5820000000003</v>
      </c>
      <c r="I13" s="16">
        <f t="shared" si="0"/>
        <v>64238.222225522841</v>
      </c>
    </row>
    <row r="14" spans="1:17" x14ac:dyDescent="0.25">
      <c r="A14" s="3">
        <v>43101</v>
      </c>
      <c r="B14" s="1">
        <v>19460.87</v>
      </c>
      <c r="C14" s="1">
        <v>24135.59</v>
      </c>
      <c r="D14" s="1">
        <v>2243.9920000000002</v>
      </c>
      <c r="E14" s="1">
        <v>3201.261</v>
      </c>
      <c r="F14" s="1">
        <v>4947.6909999999998</v>
      </c>
      <c r="G14" s="1">
        <v>5560.3389999999999</v>
      </c>
      <c r="I14" s="16">
        <f t="shared" si="0"/>
        <v>63855.475081484372</v>
      </c>
    </row>
    <row r="15" spans="1:17" x14ac:dyDescent="0.25">
      <c r="A15" s="3">
        <v>43132</v>
      </c>
      <c r="B15" s="1">
        <v>18760.78</v>
      </c>
      <c r="C15" s="1">
        <v>23013.06</v>
      </c>
      <c r="D15" s="1">
        <v>2147.5050000000001</v>
      </c>
      <c r="E15" s="1">
        <v>2914.5329999999999</v>
      </c>
      <c r="F15" s="1">
        <v>4763.5020000000004</v>
      </c>
      <c r="G15" s="1">
        <v>4958.2520000000004</v>
      </c>
      <c r="I15" s="16">
        <f t="shared" si="0"/>
        <v>63918.097915157145</v>
      </c>
    </row>
    <row r="16" spans="1:17" x14ac:dyDescent="0.25">
      <c r="A16" s="3">
        <v>43160</v>
      </c>
      <c r="B16" s="1">
        <v>20453.72</v>
      </c>
      <c r="C16" s="1">
        <v>25194.78</v>
      </c>
      <c r="D16" s="1">
        <v>2212.2660000000001</v>
      </c>
      <c r="E16" s="1">
        <v>2864.732</v>
      </c>
      <c r="F16" s="1">
        <v>5226.8900000000003</v>
      </c>
      <c r="G16" s="1">
        <v>5159.1180000000004</v>
      </c>
      <c r="I16" s="16">
        <f t="shared" si="0"/>
        <v>66315.08683365352</v>
      </c>
    </row>
    <row r="17" spans="1:9" x14ac:dyDescent="0.25">
      <c r="A17" s="3">
        <v>43191</v>
      </c>
      <c r="B17" s="1">
        <v>19873.04</v>
      </c>
      <c r="C17" s="1">
        <v>24216.52</v>
      </c>
      <c r="D17" s="1">
        <v>2137.9899999999998</v>
      </c>
      <c r="E17" s="1">
        <v>2875.3290000000002</v>
      </c>
      <c r="F17" s="1">
        <v>5245.0249999999996</v>
      </c>
      <c r="G17" s="1">
        <v>4387.72</v>
      </c>
      <c r="I17" s="16">
        <f t="shared" si="0"/>
        <v>66552.927802726554</v>
      </c>
    </row>
    <row r="18" spans="1:9" x14ac:dyDescent="0.25">
      <c r="A18" s="3">
        <v>43221</v>
      </c>
      <c r="B18" s="1">
        <v>21579.37</v>
      </c>
      <c r="C18" s="1">
        <v>25777.59</v>
      </c>
      <c r="D18" s="1">
        <v>2223.5320000000002</v>
      </c>
      <c r="E18" s="1">
        <v>2816.06</v>
      </c>
      <c r="F18" s="1">
        <v>5625.2780000000002</v>
      </c>
      <c r="G18" s="1">
        <v>4469.0609999999997</v>
      </c>
      <c r="I18" s="16">
        <f t="shared" si="0"/>
        <v>68368.907092995461</v>
      </c>
    </row>
    <row r="19" spans="1:9" x14ac:dyDescent="0.25">
      <c r="A19" s="3">
        <v>43252</v>
      </c>
      <c r="B19" s="1">
        <v>21728.35</v>
      </c>
      <c r="C19" s="1">
        <v>25403.73</v>
      </c>
      <c r="D19" s="1">
        <v>2224.9949999999999</v>
      </c>
      <c r="E19" s="1">
        <v>2708.9749999999999</v>
      </c>
      <c r="F19" s="1">
        <v>5373.415</v>
      </c>
      <c r="G19" s="1">
        <v>4243.1220000000003</v>
      </c>
      <c r="I19" s="16">
        <f t="shared" si="0"/>
        <v>69228.020049439656</v>
      </c>
    </row>
    <row r="20" spans="1:9" x14ac:dyDescent="0.25">
      <c r="A20" s="3">
        <v>43282</v>
      </c>
      <c r="B20" s="1">
        <v>22583.4</v>
      </c>
      <c r="C20" s="1">
        <v>25642.83</v>
      </c>
      <c r="D20" s="1">
        <v>2254.8539999999998</v>
      </c>
      <c r="E20" s="1">
        <v>2924.0439999999999</v>
      </c>
      <c r="F20" s="1">
        <v>5515.2380000000003</v>
      </c>
      <c r="G20" s="1">
        <v>4351.9740000000002</v>
      </c>
      <c r="I20" s="16">
        <f t="shared" si="0"/>
        <v>69737.229256781546</v>
      </c>
    </row>
    <row r="21" spans="1:9" x14ac:dyDescent="0.25">
      <c r="A21" s="3">
        <v>43313</v>
      </c>
      <c r="B21" s="1">
        <v>21141.56</v>
      </c>
      <c r="C21" s="1">
        <v>24384.240000000002</v>
      </c>
      <c r="D21" s="1">
        <v>2229.6060000000002</v>
      </c>
      <c r="E21" s="1">
        <v>2960.6860000000001</v>
      </c>
      <c r="F21" s="1">
        <v>5316.6279999999997</v>
      </c>
      <c r="G21" s="1">
        <v>4365.5119999999997</v>
      </c>
      <c r="I21" s="16">
        <f t="shared" si="0"/>
        <v>67218.998372426679</v>
      </c>
    </row>
    <row r="22" spans="1:9" x14ac:dyDescent="0.25">
      <c r="A22" s="3">
        <v>43344</v>
      </c>
      <c r="B22" s="1">
        <v>20975.74</v>
      </c>
      <c r="C22" s="1">
        <v>24359.98</v>
      </c>
      <c r="D22" s="1">
        <v>2239.415</v>
      </c>
      <c r="E22" s="1">
        <v>2753.0839999999998</v>
      </c>
      <c r="F22" s="1">
        <v>4986.6289999999999</v>
      </c>
      <c r="G22" s="1">
        <v>4343.2160000000003</v>
      </c>
      <c r="I22" s="16">
        <f t="shared" si="0"/>
        <v>67912.369170475082</v>
      </c>
    </row>
    <row r="23" spans="1:9" x14ac:dyDescent="0.25">
      <c r="A23" s="3">
        <v>43374</v>
      </c>
      <c r="B23" s="1">
        <v>21621.29</v>
      </c>
      <c r="C23" s="1">
        <v>25862.080000000002</v>
      </c>
      <c r="D23" s="1">
        <v>2287.1999999999998</v>
      </c>
      <c r="E23" s="1">
        <v>2852.076</v>
      </c>
      <c r="F23" s="1">
        <v>5247.241</v>
      </c>
      <c r="G23" s="1">
        <v>4802.6329999999998</v>
      </c>
      <c r="I23" s="16">
        <f t="shared" si="0"/>
        <v>68635.724294611311</v>
      </c>
    </row>
    <row r="24" spans="1:9" x14ac:dyDescent="0.25">
      <c r="A24" s="3">
        <v>43405</v>
      </c>
      <c r="B24" s="1">
        <v>20991.89</v>
      </c>
      <c r="C24" s="1">
        <v>25423.67</v>
      </c>
      <c r="D24" s="1">
        <v>2276.5909999999999</v>
      </c>
      <c r="E24" s="1">
        <v>2624.8470000000002</v>
      </c>
      <c r="F24" s="1">
        <v>5075.8149999999996</v>
      </c>
      <c r="G24" s="1">
        <v>5517.7060000000001</v>
      </c>
      <c r="I24" s="16">
        <f t="shared" si="0"/>
        <v>66087.101877291454</v>
      </c>
    </row>
    <row r="25" spans="1:9" x14ac:dyDescent="0.25">
      <c r="A25" s="3">
        <v>43435</v>
      </c>
      <c r="B25" s="1">
        <v>20762.490000000002</v>
      </c>
      <c r="C25" s="1">
        <v>25082.17</v>
      </c>
      <c r="D25" s="1">
        <v>2312.547</v>
      </c>
      <c r="E25" s="1">
        <v>2465.3069999999998</v>
      </c>
      <c r="F25" s="1">
        <v>4894.9340000000002</v>
      </c>
      <c r="G25" s="1">
        <v>5458.8270000000002</v>
      </c>
      <c r="I25" s="16">
        <f t="shared" si="0"/>
        <v>65579.696900615265</v>
      </c>
    </row>
    <row r="26" spans="1:9" x14ac:dyDescent="0.25">
      <c r="A26" s="3">
        <v>43466</v>
      </c>
      <c r="B26" s="1">
        <v>20503</v>
      </c>
      <c r="C26" s="1">
        <v>23668.9</v>
      </c>
      <c r="D26" s="1">
        <v>2302.1889999999999</v>
      </c>
      <c r="E26" s="1">
        <v>2924.2919999999999</v>
      </c>
      <c r="F26" s="1">
        <v>4826.7879999999996</v>
      </c>
      <c r="G26" s="1">
        <v>5261.2550000000001</v>
      </c>
      <c r="I26" s="16">
        <f t="shared" si="0"/>
        <v>64468.60164814804</v>
      </c>
    </row>
    <row r="27" spans="1:9" x14ac:dyDescent="0.25">
      <c r="A27" s="3">
        <v>43497</v>
      </c>
      <c r="B27" s="1">
        <v>19802.91</v>
      </c>
      <c r="C27" s="1">
        <v>22888.69</v>
      </c>
      <c r="D27" s="1">
        <v>2223.9659999999999</v>
      </c>
      <c r="E27" s="1">
        <v>2704.2579999999998</v>
      </c>
      <c r="F27" s="1">
        <v>4642.6000000000004</v>
      </c>
      <c r="G27" s="1">
        <v>4683.2860000000001</v>
      </c>
      <c r="I27" s="16">
        <f t="shared" si="0"/>
        <v>64932.1010033231</v>
      </c>
    </row>
    <row r="28" spans="1:9" x14ac:dyDescent="0.25">
      <c r="A28" s="3">
        <v>43525</v>
      </c>
      <c r="B28" s="1">
        <v>21495.85</v>
      </c>
      <c r="C28" s="1">
        <v>24582.04</v>
      </c>
      <c r="D28" s="1">
        <v>2276.4679999999998</v>
      </c>
      <c r="E28" s="1">
        <v>2664.7539999999999</v>
      </c>
      <c r="F28" s="1">
        <v>5105.9880000000003</v>
      </c>
      <c r="G28" s="1">
        <v>4719.9709999999995</v>
      </c>
      <c r="I28" s="16">
        <f t="shared" si="0"/>
        <v>67062.877616445607</v>
      </c>
    </row>
    <row r="29" spans="1:9" x14ac:dyDescent="0.25">
      <c r="A29" s="3">
        <v>43556</v>
      </c>
      <c r="B29" s="1">
        <v>20915.18</v>
      </c>
      <c r="C29" s="1">
        <v>23995.94</v>
      </c>
      <c r="D29" s="1">
        <v>2216.252</v>
      </c>
      <c r="E29" s="1">
        <v>2638.9270000000001</v>
      </c>
      <c r="F29" s="1">
        <v>5124.1229999999996</v>
      </c>
      <c r="G29" s="1">
        <v>4119.7330000000002</v>
      </c>
      <c r="I29" s="16">
        <f t="shared" si="0"/>
        <v>67350.835675223934</v>
      </c>
    </row>
    <row r="30" spans="1:9" x14ac:dyDescent="0.25">
      <c r="A30" s="3">
        <v>43586</v>
      </c>
      <c r="B30" s="1">
        <v>22621.51</v>
      </c>
      <c r="C30" s="1">
        <v>25792.55</v>
      </c>
      <c r="D30" s="1">
        <v>2285.6010000000001</v>
      </c>
      <c r="E30" s="1">
        <v>2609.9899999999998</v>
      </c>
      <c r="F30" s="1">
        <v>5504.3760000000002</v>
      </c>
      <c r="G30" s="1">
        <v>4176.8490000000002</v>
      </c>
      <c r="I30" s="16">
        <f t="shared" si="0"/>
        <v>69775.992095092559</v>
      </c>
    </row>
    <row r="31" spans="1:9" x14ac:dyDescent="0.25">
      <c r="A31" s="3">
        <v>43617</v>
      </c>
      <c r="B31" s="1">
        <v>22770.49</v>
      </c>
      <c r="C31" s="1">
        <v>25294.59</v>
      </c>
      <c r="D31" s="1">
        <v>2286.788</v>
      </c>
      <c r="E31" s="1">
        <v>2579.0479999999998</v>
      </c>
      <c r="F31" s="1">
        <v>5252.5129999999999</v>
      </c>
      <c r="G31" s="1">
        <v>4045.5590000000002</v>
      </c>
      <c r="I31" s="16">
        <f t="shared" si="0"/>
        <v>70323.337380755926</v>
      </c>
    </row>
    <row r="32" spans="1:9" x14ac:dyDescent="0.25">
      <c r="A32" s="3">
        <v>43647</v>
      </c>
      <c r="B32" s="1">
        <v>23625.53</v>
      </c>
      <c r="C32" s="1">
        <v>25890.15</v>
      </c>
      <c r="D32" s="1">
        <v>2310.9949999999999</v>
      </c>
      <c r="E32" s="1">
        <v>2738.7510000000002</v>
      </c>
      <c r="F32" s="1">
        <v>5394.3360000000002</v>
      </c>
      <c r="G32" s="1">
        <v>4116.2560000000003</v>
      </c>
      <c r="I32" s="16">
        <f t="shared" si="0"/>
        <v>71459.165095517965</v>
      </c>
    </row>
    <row r="33" spans="1:9" x14ac:dyDescent="0.25">
      <c r="A33" s="3">
        <v>43678</v>
      </c>
      <c r="B33" s="1">
        <v>22183.7</v>
      </c>
      <c r="C33" s="1">
        <v>24878.32</v>
      </c>
      <c r="D33" s="1">
        <v>2290.5259999999998</v>
      </c>
      <c r="E33" s="1">
        <v>2756.5450000000001</v>
      </c>
      <c r="F33" s="1">
        <v>5195.7259999999997</v>
      </c>
      <c r="G33" s="1">
        <v>4151.9629999999997</v>
      </c>
      <c r="I33" s="16">
        <f t="shared" si="0"/>
        <v>69209.878109494966</v>
      </c>
    </row>
    <row r="34" spans="1:9" x14ac:dyDescent="0.25">
      <c r="A34" s="3">
        <v>43709</v>
      </c>
      <c r="B34" s="1">
        <v>22017.87</v>
      </c>
      <c r="C34" s="1">
        <v>24789.45</v>
      </c>
      <c r="D34" s="1">
        <v>2298.4789999999998</v>
      </c>
      <c r="E34" s="1">
        <v>2624.18</v>
      </c>
      <c r="F34" s="1">
        <v>4865.7259999999997</v>
      </c>
      <c r="G34" s="1">
        <v>4058.5520000000001</v>
      </c>
      <c r="I34" s="16">
        <f t="shared" si="0"/>
        <v>70076.707507622588</v>
      </c>
    </row>
    <row r="35" spans="1:9" x14ac:dyDescent="0.25">
      <c r="A35" s="3">
        <v>43739</v>
      </c>
      <c r="B35" s="1">
        <v>22663.43</v>
      </c>
      <c r="C35" s="1">
        <v>26187.73</v>
      </c>
      <c r="D35" s="1">
        <v>2337.2179999999998</v>
      </c>
      <c r="E35" s="1">
        <v>2724.9209999999998</v>
      </c>
      <c r="F35" s="1">
        <v>5126.3389999999999</v>
      </c>
      <c r="G35" s="1">
        <v>4392.1310000000003</v>
      </c>
      <c r="I35" s="16">
        <f t="shared" si="0"/>
        <v>71008.939991533945</v>
      </c>
    </row>
    <row r="36" spans="1:9" x14ac:dyDescent="0.25">
      <c r="A36" s="3">
        <v>43770</v>
      </c>
      <c r="B36" s="1">
        <v>22034.02</v>
      </c>
      <c r="C36" s="1">
        <v>25519.93</v>
      </c>
      <c r="D36" s="1">
        <v>2328.6170000000002</v>
      </c>
      <c r="E36" s="1">
        <v>2528.7040000000002</v>
      </c>
      <c r="F36" s="1">
        <v>4954.9129999999996</v>
      </c>
      <c r="G36" s="1">
        <v>5000.7150000000001</v>
      </c>
      <c r="I36" s="16">
        <f t="shared" si="0"/>
        <v>68365.445623057254</v>
      </c>
    </row>
    <row r="37" spans="1:9" x14ac:dyDescent="0.25">
      <c r="A37" s="3">
        <v>43800</v>
      </c>
      <c r="B37" s="1">
        <v>21804.63</v>
      </c>
      <c r="C37" s="1">
        <v>25457.94</v>
      </c>
      <c r="D37" s="1">
        <v>2357.7660000000001</v>
      </c>
      <c r="E37" s="1">
        <v>2405.0169999999998</v>
      </c>
      <c r="F37" s="1">
        <v>4774.0320000000002</v>
      </c>
      <c r="G37" s="1">
        <v>5286.6080000000002</v>
      </c>
      <c r="I37" s="16">
        <f t="shared" si="0"/>
        <v>67614.925881883522</v>
      </c>
    </row>
    <row r="38" spans="1:9" x14ac:dyDescent="0.25">
      <c r="A38" s="3">
        <v>43831</v>
      </c>
      <c r="B38" s="1">
        <v>21545.14</v>
      </c>
      <c r="C38" s="1">
        <v>23974.86</v>
      </c>
      <c r="D38" s="1">
        <v>2349.3690000000001</v>
      </c>
      <c r="E38" s="1">
        <v>2802.6469999999999</v>
      </c>
      <c r="F38" s="1">
        <v>4705.8860000000004</v>
      </c>
      <c r="G38" s="1">
        <v>5050.6310000000003</v>
      </c>
      <c r="I38" s="16">
        <f t="shared" si="0"/>
        <v>66386.716979364865</v>
      </c>
    </row>
    <row r="39" spans="1:9" x14ac:dyDescent="0.25">
      <c r="A39" s="3">
        <v>43862</v>
      </c>
      <c r="B39" s="1">
        <v>20845.05</v>
      </c>
      <c r="C39" s="1">
        <v>23185.4</v>
      </c>
      <c r="D39" s="1">
        <v>2285.9540000000002</v>
      </c>
      <c r="E39" s="1">
        <v>2602.7089999999998</v>
      </c>
      <c r="F39" s="1">
        <v>4521.6980000000003</v>
      </c>
      <c r="G39" s="1">
        <v>4316.3819999999996</v>
      </c>
      <c r="I39" s="16">
        <f t="shared" si="0"/>
        <v>67084.665394109034</v>
      </c>
    </row>
    <row r="40" spans="1:9" x14ac:dyDescent="0.25">
      <c r="A40" s="3">
        <v>43891</v>
      </c>
      <c r="B40" s="1">
        <v>22537.99</v>
      </c>
      <c r="C40" s="1">
        <v>24897.119999999999</v>
      </c>
      <c r="D40" s="1">
        <v>2328.5169999999998</v>
      </c>
      <c r="E40" s="1">
        <v>2567.5859999999998</v>
      </c>
      <c r="F40" s="1">
        <v>4985.085</v>
      </c>
      <c r="G40" s="1">
        <v>4390.8559999999998</v>
      </c>
      <c r="I40" s="16">
        <f t="shared" si="0"/>
        <v>69253.182343074295</v>
      </c>
    </row>
    <row r="41" spans="1:9" x14ac:dyDescent="0.25">
      <c r="A41" s="3">
        <v>43922</v>
      </c>
      <c r="B41" s="1">
        <v>21957.31</v>
      </c>
      <c r="C41" s="1">
        <v>24182.26</v>
      </c>
      <c r="D41" s="1">
        <v>2279.6999999999998</v>
      </c>
      <c r="E41" s="1">
        <v>2564.5320000000002</v>
      </c>
      <c r="F41" s="1">
        <v>5003.2209999999995</v>
      </c>
      <c r="G41" s="1">
        <v>3673.9409999999998</v>
      </c>
      <c r="I41" s="16">
        <f t="shared" si="0"/>
        <v>69531.968794101049</v>
      </c>
    </row>
    <row r="42" spans="1:9" x14ac:dyDescent="0.25">
      <c r="A42" s="3">
        <v>43952</v>
      </c>
      <c r="B42" s="1">
        <v>23663.64</v>
      </c>
      <c r="C42" s="1">
        <v>25821.31</v>
      </c>
      <c r="D42" s="1">
        <v>2335.922</v>
      </c>
      <c r="E42" s="1">
        <v>2528.2910000000002</v>
      </c>
      <c r="F42" s="1">
        <v>5383.4740000000002</v>
      </c>
      <c r="G42" s="1">
        <v>3704.319</v>
      </c>
      <c r="I42" s="16">
        <f t="shared" si="0"/>
        <v>71880.652769789507</v>
      </c>
    </row>
    <row r="43" spans="1:9" x14ac:dyDescent="0.25">
      <c r="A43" s="3">
        <v>43983</v>
      </c>
      <c r="B43" s="1">
        <v>23812.62</v>
      </c>
      <c r="C43" s="1">
        <v>25366.75</v>
      </c>
      <c r="D43" s="1">
        <v>2336.884</v>
      </c>
      <c r="E43" s="1">
        <v>2469.375</v>
      </c>
      <c r="F43" s="1">
        <v>5131.6109999999999</v>
      </c>
      <c r="G43" s="1">
        <v>3457.788</v>
      </c>
      <c r="I43" s="16">
        <f t="shared" si="0"/>
        <v>72725.977755892061</v>
      </c>
    </row>
    <row r="44" spans="1:9" x14ac:dyDescent="0.25">
      <c r="A44" s="3">
        <v>44013</v>
      </c>
      <c r="B44" s="1">
        <v>24667.67</v>
      </c>
      <c r="C44" s="1">
        <v>25912.87</v>
      </c>
      <c r="D44" s="1">
        <v>2356.5079999999998</v>
      </c>
      <c r="E44" s="1">
        <v>2617.703</v>
      </c>
      <c r="F44" s="1">
        <v>5273.4340000000002</v>
      </c>
      <c r="G44" s="1">
        <v>3604.8229999999999</v>
      </c>
      <c r="I44" s="16">
        <f t="shared" si="0"/>
        <v>73636.828830361279</v>
      </c>
    </row>
    <row r="45" spans="1:9" x14ac:dyDescent="0.25">
      <c r="A45" s="3">
        <v>44044</v>
      </c>
      <c r="B45" s="1">
        <v>23225.83</v>
      </c>
      <c r="C45" s="1">
        <v>24894.39</v>
      </c>
      <c r="D45" s="1">
        <v>2339.9140000000002</v>
      </c>
      <c r="E45" s="1">
        <v>2640.0790000000002</v>
      </c>
      <c r="F45" s="1">
        <v>5074.8239999999996</v>
      </c>
      <c r="G45" s="1">
        <v>3673.2820000000002</v>
      </c>
      <c r="I45" s="16">
        <f t="shared" si="0"/>
        <v>71273.058397057612</v>
      </c>
    </row>
    <row r="46" spans="1:9" x14ac:dyDescent="0.25">
      <c r="A46" s="3">
        <v>44075</v>
      </c>
      <c r="B46" s="1">
        <v>23060.01</v>
      </c>
      <c r="C46" s="1">
        <v>24857.360000000001</v>
      </c>
      <c r="D46" s="1">
        <v>2346.3609999999999</v>
      </c>
      <c r="E46" s="1">
        <v>2503.6030000000001</v>
      </c>
      <c r="F46" s="1">
        <v>4744.8239999999996</v>
      </c>
      <c r="G46" s="1">
        <v>3597.1950000000002</v>
      </c>
      <c r="I46" s="16">
        <f t="shared" si="0"/>
        <v>72189.922943049605</v>
      </c>
    </row>
    <row r="47" spans="1:9" x14ac:dyDescent="0.25">
      <c r="A47" s="3">
        <v>44105</v>
      </c>
      <c r="B47" s="1">
        <v>23705.56</v>
      </c>
      <c r="C47" s="1">
        <v>26224.81</v>
      </c>
      <c r="D47" s="1">
        <v>2377.7669999999998</v>
      </c>
      <c r="E47" s="1">
        <v>2580.25</v>
      </c>
      <c r="F47" s="1">
        <v>5005.4369999999999</v>
      </c>
      <c r="G47" s="1">
        <v>4076.328</v>
      </c>
      <c r="I47" s="16">
        <f t="shared" si="0"/>
        <v>72776.822499412345</v>
      </c>
    </row>
    <row r="48" spans="1:9" x14ac:dyDescent="0.25">
      <c r="A48" s="3">
        <v>44136</v>
      </c>
      <c r="B48" s="1">
        <v>23076.16</v>
      </c>
      <c r="C48" s="1">
        <v>25512.55</v>
      </c>
      <c r="D48" s="1">
        <v>2370.7939999999999</v>
      </c>
      <c r="E48" s="1">
        <v>2415.0839999999998</v>
      </c>
      <c r="F48" s="1">
        <v>4834.0110000000004</v>
      </c>
      <c r="G48" s="1">
        <v>4666.5249999999996</v>
      </c>
      <c r="I48" s="16">
        <f t="shared" si="0"/>
        <v>70130.364056413266</v>
      </c>
    </row>
    <row r="49" spans="1:9" x14ac:dyDescent="0.25">
      <c r="A49" s="3">
        <v>44166</v>
      </c>
      <c r="B49" s="1">
        <v>22846.76</v>
      </c>
      <c r="C49" s="1">
        <v>25408.66</v>
      </c>
      <c r="D49" s="1">
        <v>2394.4259999999999</v>
      </c>
      <c r="E49" s="1">
        <v>2303.4479999999999</v>
      </c>
      <c r="F49" s="1">
        <v>4653.13</v>
      </c>
      <c r="G49" s="1">
        <v>4734.7860000000001</v>
      </c>
      <c r="I49" s="16">
        <f t="shared" si="0"/>
        <v>69876.73511208524</v>
      </c>
    </row>
    <row r="50" spans="1:9" x14ac:dyDescent="0.25">
      <c r="A50" s="3">
        <v>44197</v>
      </c>
      <c r="B50" s="1">
        <v>22587.27</v>
      </c>
      <c r="C50" s="1">
        <v>24049.55</v>
      </c>
      <c r="D50" s="1">
        <v>2387.6179999999999</v>
      </c>
      <c r="E50" s="1">
        <v>2637.4670000000001</v>
      </c>
      <c r="F50" s="1">
        <v>4584.9840000000004</v>
      </c>
      <c r="G50" s="1">
        <v>4500.2209999999995</v>
      </c>
      <c r="I50" s="16">
        <f t="shared" si="0"/>
        <v>68744.551336583419</v>
      </c>
    </row>
    <row r="51" spans="1:9" x14ac:dyDescent="0.25">
      <c r="A51" s="3">
        <v>44228</v>
      </c>
      <c r="B51" s="1">
        <v>21887.18</v>
      </c>
      <c r="C51" s="1">
        <v>23128.2</v>
      </c>
      <c r="D51" s="1">
        <v>2336.2080000000001</v>
      </c>
      <c r="E51" s="1">
        <v>2474.4760000000001</v>
      </c>
      <c r="F51" s="1">
        <v>4400.7950000000001</v>
      </c>
      <c r="G51" s="1">
        <v>3871.6280000000002</v>
      </c>
      <c r="I51" s="16">
        <f t="shared" si="0"/>
        <v>68932.747044341231</v>
      </c>
    </row>
    <row r="52" spans="1:9" x14ac:dyDescent="0.25">
      <c r="A52" s="3">
        <v>44256</v>
      </c>
      <c r="B52" s="1">
        <v>23580.12</v>
      </c>
      <c r="C52" s="1">
        <v>25018.91</v>
      </c>
      <c r="D52" s="1">
        <v>2370.7139999999999</v>
      </c>
      <c r="E52" s="1">
        <v>2445.4499999999998</v>
      </c>
      <c r="F52" s="1">
        <v>4864.183</v>
      </c>
      <c r="G52" s="1">
        <v>4007.4430000000002</v>
      </c>
      <c r="I52" s="16">
        <f t="shared" si="0"/>
        <v>71322.029438558384</v>
      </c>
    </row>
    <row r="53" spans="1:9" x14ac:dyDescent="0.25">
      <c r="A53" s="3">
        <v>44287</v>
      </c>
      <c r="B53" s="1">
        <v>22999.45</v>
      </c>
      <c r="C53" s="1">
        <v>24209.97</v>
      </c>
      <c r="D53" s="1">
        <v>2331.1379999999999</v>
      </c>
      <c r="E53" s="1">
        <v>2432.5970000000002</v>
      </c>
      <c r="F53" s="1">
        <v>4882.3180000000002</v>
      </c>
      <c r="G53" s="1">
        <v>3285.3710000000001</v>
      </c>
      <c r="I53" s="16">
        <f t="shared" si="0"/>
        <v>71369.304191139046</v>
      </c>
    </row>
    <row r="54" spans="1:9" x14ac:dyDescent="0.25">
      <c r="A54" s="3">
        <v>44317</v>
      </c>
      <c r="B54" s="1">
        <v>24705.78</v>
      </c>
      <c r="C54" s="1">
        <v>25829.86</v>
      </c>
      <c r="D54" s="1">
        <v>2376.7170000000001</v>
      </c>
      <c r="E54" s="1">
        <v>2408.1030000000001</v>
      </c>
      <c r="F54" s="1">
        <v>5262.5720000000001</v>
      </c>
      <c r="G54" s="1">
        <v>3349.3829999999998</v>
      </c>
      <c r="I54" s="16">
        <f t="shared" si="0"/>
        <v>73722.107768933565</v>
      </c>
    </row>
    <row r="55" spans="1:9" x14ac:dyDescent="0.25">
      <c r="A55" s="3">
        <v>44348</v>
      </c>
      <c r="B55" s="1">
        <v>24854.75</v>
      </c>
      <c r="C55" s="1">
        <v>25400.95</v>
      </c>
      <c r="D55" s="1">
        <v>2377.4969999999998</v>
      </c>
      <c r="E55" s="1">
        <v>2375.7109999999998</v>
      </c>
      <c r="F55" s="1">
        <v>5010.7089999999998</v>
      </c>
      <c r="G55" s="1">
        <v>3138.585</v>
      </c>
      <c r="I55" s="16">
        <f t="shared" si="0"/>
        <v>74561.213851499298</v>
      </c>
    </row>
    <row r="56" spans="1:9" x14ac:dyDescent="0.25">
      <c r="A56" s="3">
        <v>44378</v>
      </c>
      <c r="B56" s="1">
        <v>25709.8</v>
      </c>
      <c r="C56" s="1">
        <v>25829.69</v>
      </c>
      <c r="D56" s="1">
        <v>2393.4059999999999</v>
      </c>
      <c r="E56" s="1">
        <v>2494.9989999999998</v>
      </c>
      <c r="F56" s="1">
        <v>5152.5320000000002</v>
      </c>
      <c r="G56" s="1">
        <v>3248.482</v>
      </c>
      <c r="I56" s="16">
        <f t="shared" si="0"/>
        <v>75369.754060835025</v>
      </c>
    </row>
    <row r="57" spans="1:9" x14ac:dyDescent="0.25">
      <c r="A57" s="3">
        <v>44409</v>
      </c>
      <c r="B57" s="1">
        <v>24267.97</v>
      </c>
      <c r="C57" s="1">
        <v>24716.400000000001</v>
      </c>
      <c r="D57" s="1">
        <v>2379.953</v>
      </c>
      <c r="E57" s="1">
        <v>2510.0889999999999</v>
      </c>
      <c r="F57" s="1">
        <v>4953.9219999999996</v>
      </c>
      <c r="G57" s="1">
        <v>3279.8609999999999</v>
      </c>
      <c r="I57" s="16">
        <f t="shared" si="0"/>
        <v>72904.574737289004</v>
      </c>
    </row>
    <row r="58" spans="1:9" x14ac:dyDescent="0.25">
      <c r="A58" s="3">
        <v>44440</v>
      </c>
      <c r="B58" s="1">
        <v>24102.14</v>
      </c>
      <c r="C58" s="1">
        <v>24678.25</v>
      </c>
      <c r="D58" s="1">
        <v>2385.1799999999998</v>
      </c>
      <c r="E58" s="1">
        <v>2407.0569999999998</v>
      </c>
      <c r="F58" s="1">
        <v>4623.9219999999996</v>
      </c>
      <c r="G58" s="1">
        <v>3229.6170000000002</v>
      </c>
      <c r="I58" s="16">
        <f t="shared" si="0"/>
        <v>73814.027616088861</v>
      </c>
    </row>
    <row r="59" spans="1:9" x14ac:dyDescent="0.25">
      <c r="A59" s="3">
        <v>44470</v>
      </c>
      <c r="B59" s="1">
        <v>24747.7</v>
      </c>
      <c r="C59" s="1">
        <v>26099.29</v>
      </c>
      <c r="D59" s="1">
        <v>2410.6410000000001</v>
      </c>
      <c r="E59" s="1">
        <v>2477.1010000000001</v>
      </c>
      <c r="F59" s="1">
        <v>4884.5349999999999</v>
      </c>
      <c r="G59" s="1">
        <v>3667.07</v>
      </c>
      <c r="I59" s="16">
        <f t="shared" si="0"/>
        <v>74625.506078754435</v>
      </c>
    </row>
    <row r="60" spans="1:9" x14ac:dyDescent="0.25">
      <c r="A60" s="3">
        <v>44501</v>
      </c>
      <c r="B60" s="1">
        <v>24118.29</v>
      </c>
      <c r="C60" s="1">
        <v>25496.17</v>
      </c>
      <c r="D60" s="1">
        <v>2404.9879999999998</v>
      </c>
      <c r="E60" s="1">
        <v>2335.79</v>
      </c>
      <c r="F60" s="1">
        <v>4713.1090000000004</v>
      </c>
      <c r="G60" s="1">
        <v>4329.6869999999999</v>
      </c>
      <c r="I60" s="16">
        <f t="shared" si="0"/>
        <v>72002.849154244177</v>
      </c>
    </row>
    <row r="61" spans="1:9" x14ac:dyDescent="0.25">
      <c r="A61" s="3">
        <v>44531</v>
      </c>
      <c r="B61" s="1">
        <v>23888.89</v>
      </c>
      <c r="C61" s="1">
        <v>25301.93</v>
      </c>
      <c r="D61" s="1">
        <v>2424.1460000000002</v>
      </c>
      <c r="E61" s="1">
        <v>2244.4</v>
      </c>
      <c r="F61" s="1">
        <v>4532.2280000000001</v>
      </c>
      <c r="G61" s="1">
        <v>4374.3280000000004</v>
      </c>
      <c r="I61" s="16">
        <f t="shared" si="0"/>
        <v>71727.712939161021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Regression</vt:lpstr>
      <vt:lpstr>Forecasting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Suraj Divakala</dc:creator>
  <cp:lastModifiedBy>Suraj Divakala</cp:lastModifiedBy>
  <dcterms:created xsi:type="dcterms:W3CDTF">2022-09-01T12:14:58Z</dcterms:created>
  <dcterms:modified xsi:type="dcterms:W3CDTF">2022-09-05T22:41:46Z</dcterms:modified>
</cp:coreProperties>
</file>